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anutech\Projects\SweetInsights\"/>
    </mc:Choice>
  </mc:AlternateContent>
  <xr:revisionPtr revIDLastSave="0" documentId="8_{934DB7CE-A2E5-460B-8959-0A9891163E10}" xr6:coauthVersionLast="47" xr6:coauthVersionMax="47" xr10:uidLastSave="{00000000-0000-0000-0000-000000000000}"/>
  <bookViews>
    <workbookView xWindow="-120" yWindow="-16320" windowWidth="29040" windowHeight="15720" tabRatio="283" xr2:uid="{00000000-000D-0000-FFFF-FFFF00000000}"/>
  </bookViews>
  <sheets>
    <sheet name="OPERATIONS" sheetId="9" r:id="rId1"/>
    <sheet name="Hazard Description ID" sheetId="10" r:id="rId2"/>
  </sheets>
  <definedNames>
    <definedName name="_xlnm.Print_Area" localSheetId="0">OPERATIONS!$A$1:$Z$146</definedName>
    <definedName name="_xlnm.Print_Titles" localSheetId="0">OPERATIONS!$20:$21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44" i="9" l="1"/>
  <c r="Y144" i="9"/>
  <c r="X144" i="9"/>
  <c r="W144" i="9"/>
  <c r="O144" i="9"/>
  <c r="N144" i="9"/>
  <c r="M144" i="9"/>
  <c r="L144" i="9"/>
  <c r="Z143" i="9"/>
  <c r="Y143" i="9"/>
  <c r="X143" i="9"/>
  <c r="W143" i="9"/>
  <c r="O143" i="9"/>
  <c r="N143" i="9"/>
  <c r="M143" i="9"/>
  <c r="L143" i="9"/>
  <c r="Z142" i="9"/>
  <c r="Y142" i="9"/>
  <c r="X142" i="9"/>
  <c r="W142" i="9"/>
  <c r="O142" i="9"/>
  <c r="N142" i="9"/>
  <c r="M142" i="9"/>
  <c r="L142" i="9"/>
  <c r="Z141" i="9"/>
  <c r="Y141" i="9"/>
  <c r="X141" i="9"/>
  <c r="W141" i="9"/>
  <c r="O141" i="9"/>
  <c r="N141" i="9"/>
  <c r="M141" i="9"/>
  <c r="L141" i="9"/>
  <c r="Z137" i="9"/>
  <c r="Y137" i="9"/>
  <c r="X137" i="9"/>
  <c r="W137" i="9"/>
  <c r="O137" i="9"/>
  <c r="N137" i="9"/>
  <c r="M137" i="9"/>
  <c r="L137" i="9"/>
  <c r="Z136" i="9"/>
  <c r="Y136" i="9"/>
  <c r="X136" i="9"/>
  <c r="W136" i="9"/>
  <c r="O136" i="9"/>
  <c r="N136" i="9"/>
  <c r="M136" i="9"/>
  <c r="L136" i="9"/>
  <c r="Z135" i="9"/>
  <c r="Y135" i="9"/>
  <c r="X135" i="9"/>
  <c r="W135" i="9"/>
  <c r="O135" i="9"/>
  <c r="N135" i="9"/>
  <c r="M135" i="9"/>
  <c r="L135" i="9"/>
  <c r="Z134" i="9"/>
  <c r="Y134" i="9"/>
  <c r="X134" i="9"/>
  <c r="W134" i="9"/>
  <c r="O134" i="9"/>
  <c r="N134" i="9"/>
  <c r="M134" i="9"/>
  <c r="L134" i="9"/>
  <c r="Z130" i="9"/>
  <c r="Y130" i="9"/>
  <c r="X130" i="9"/>
  <c r="W130" i="9"/>
  <c r="O130" i="9"/>
  <c r="N130" i="9"/>
  <c r="M130" i="9"/>
  <c r="L130" i="9"/>
  <c r="Z129" i="9"/>
  <c r="Y129" i="9"/>
  <c r="X129" i="9"/>
  <c r="W129" i="9"/>
  <c r="O129" i="9"/>
  <c r="N129" i="9"/>
  <c r="M129" i="9"/>
  <c r="L129" i="9"/>
  <c r="Z128" i="9"/>
  <c r="Y128" i="9"/>
  <c r="X128" i="9"/>
  <c r="W128" i="9"/>
  <c r="O128" i="9"/>
  <c r="N128" i="9"/>
  <c r="M128" i="9"/>
  <c r="L128" i="9"/>
  <c r="Z127" i="9"/>
  <c r="Y127" i="9"/>
  <c r="X127" i="9"/>
  <c r="W127" i="9"/>
  <c r="O127" i="9"/>
  <c r="N127" i="9"/>
  <c r="M127" i="9"/>
  <c r="L127" i="9"/>
  <c r="Z123" i="9"/>
  <c r="Y123" i="9"/>
  <c r="X123" i="9"/>
  <c r="W123" i="9"/>
  <c r="O123" i="9"/>
  <c r="N123" i="9"/>
  <c r="M123" i="9"/>
  <c r="L123" i="9"/>
  <c r="Z122" i="9"/>
  <c r="Y122" i="9"/>
  <c r="X122" i="9"/>
  <c r="W122" i="9"/>
  <c r="O122" i="9"/>
  <c r="N122" i="9"/>
  <c r="M122" i="9"/>
  <c r="L122" i="9"/>
  <c r="Z121" i="9"/>
  <c r="Y121" i="9"/>
  <c r="X121" i="9"/>
  <c r="W121" i="9"/>
  <c r="O121" i="9"/>
  <c r="N121" i="9"/>
  <c r="M121" i="9"/>
  <c r="L121" i="9"/>
  <c r="Z120" i="9"/>
  <c r="Y120" i="9"/>
  <c r="X120" i="9"/>
  <c r="W120" i="9"/>
  <c r="O120" i="9"/>
  <c r="N120" i="9"/>
  <c r="M120" i="9"/>
  <c r="L120" i="9"/>
  <c r="Z116" i="9"/>
  <c r="Y116" i="9"/>
  <c r="X116" i="9"/>
  <c r="W116" i="9"/>
  <c r="Z115" i="9"/>
  <c r="Y115" i="9"/>
  <c r="X115" i="9"/>
  <c r="W115" i="9"/>
  <c r="Z114" i="9"/>
  <c r="Y114" i="9"/>
  <c r="X114" i="9"/>
  <c r="W114" i="9"/>
  <c r="Z113" i="9"/>
  <c r="Y113" i="9"/>
  <c r="X113" i="9"/>
  <c r="W113" i="9"/>
  <c r="Z109" i="9"/>
  <c r="Y109" i="9"/>
  <c r="X109" i="9"/>
  <c r="W109" i="9"/>
  <c r="Z108" i="9"/>
  <c r="Y108" i="9"/>
  <c r="X108" i="9"/>
  <c r="W108" i="9"/>
  <c r="Z107" i="9"/>
  <c r="Y107" i="9"/>
  <c r="X107" i="9"/>
  <c r="W107" i="9"/>
  <c r="Z106" i="9"/>
  <c r="Y106" i="9"/>
  <c r="X106" i="9"/>
  <c r="W106" i="9"/>
  <c r="Z102" i="9"/>
  <c r="Y102" i="9"/>
  <c r="X102" i="9"/>
  <c r="W102" i="9"/>
  <c r="Z101" i="9"/>
  <c r="Y101" i="9"/>
  <c r="X101" i="9"/>
  <c r="W101" i="9"/>
  <c r="Z100" i="9"/>
  <c r="Y100" i="9"/>
  <c r="X100" i="9"/>
  <c r="W100" i="9"/>
  <c r="Z99" i="9"/>
  <c r="Y99" i="9"/>
  <c r="X99" i="9"/>
  <c r="W99" i="9"/>
  <c r="Z95" i="9"/>
  <c r="Y95" i="9"/>
  <c r="X95" i="9"/>
  <c r="W95" i="9"/>
  <c r="Z94" i="9"/>
  <c r="Y94" i="9"/>
  <c r="X94" i="9"/>
  <c r="W94" i="9"/>
  <c r="Z93" i="9"/>
  <c r="Y93" i="9"/>
  <c r="X93" i="9"/>
  <c r="W93" i="9"/>
  <c r="Z92" i="9"/>
  <c r="Y92" i="9"/>
  <c r="X92" i="9"/>
  <c r="W92" i="9"/>
  <c r="Z88" i="9"/>
  <c r="Y88" i="9"/>
  <c r="X88" i="9"/>
  <c r="W88" i="9"/>
  <c r="Z87" i="9"/>
  <c r="Y87" i="9"/>
  <c r="X87" i="9"/>
  <c r="W87" i="9"/>
  <c r="Z86" i="9"/>
  <c r="Y86" i="9"/>
  <c r="X86" i="9"/>
  <c r="W86" i="9"/>
  <c r="Z85" i="9"/>
  <c r="Y85" i="9"/>
  <c r="X85" i="9"/>
  <c r="W85" i="9"/>
  <c r="Z81" i="9"/>
  <c r="Y81" i="9"/>
  <c r="X81" i="9"/>
  <c r="W81" i="9"/>
  <c r="Z80" i="9"/>
  <c r="Y80" i="9"/>
  <c r="X80" i="9"/>
  <c r="W80" i="9"/>
  <c r="Z79" i="9"/>
  <c r="Y79" i="9"/>
  <c r="X79" i="9"/>
  <c r="W79" i="9"/>
  <c r="Z78" i="9"/>
  <c r="Y78" i="9"/>
  <c r="X78" i="9"/>
  <c r="W78" i="9"/>
  <c r="Z74" i="9"/>
  <c r="Y74" i="9"/>
  <c r="X74" i="9"/>
  <c r="W74" i="9"/>
  <c r="Z73" i="9"/>
  <c r="Y73" i="9"/>
  <c r="X73" i="9"/>
  <c r="W73" i="9"/>
  <c r="Z72" i="9"/>
  <c r="Y72" i="9"/>
  <c r="X72" i="9"/>
  <c r="W72" i="9"/>
  <c r="Z71" i="9"/>
  <c r="Y71" i="9"/>
  <c r="X71" i="9"/>
  <c r="W71" i="9"/>
  <c r="Z67" i="9"/>
  <c r="Y67" i="9"/>
  <c r="X67" i="9"/>
  <c r="W67" i="9"/>
  <c r="Z66" i="9"/>
  <c r="Y66" i="9"/>
  <c r="X66" i="9"/>
  <c r="W66" i="9"/>
  <c r="Z65" i="9"/>
  <c r="Y65" i="9"/>
  <c r="X65" i="9"/>
  <c r="W65" i="9"/>
  <c r="Z64" i="9"/>
  <c r="Y64" i="9"/>
  <c r="X64" i="9"/>
  <c r="W64" i="9"/>
  <c r="Z60" i="9"/>
  <c r="Y60" i="9"/>
  <c r="X60" i="9"/>
  <c r="W60" i="9"/>
  <c r="Z59" i="9"/>
  <c r="Y59" i="9"/>
  <c r="X59" i="9"/>
  <c r="W59" i="9"/>
  <c r="Z58" i="9"/>
  <c r="Y58" i="9"/>
  <c r="X58" i="9"/>
  <c r="W58" i="9"/>
  <c r="Z57" i="9"/>
  <c r="Y57" i="9"/>
  <c r="X57" i="9"/>
  <c r="W57" i="9"/>
  <c r="Z53" i="9"/>
  <c r="Y53" i="9"/>
  <c r="X53" i="9"/>
  <c r="W53" i="9"/>
  <c r="Z52" i="9"/>
  <c r="Y52" i="9"/>
  <c r="X52" i="9"/>
  <c r="W52" i="9"/>
  <c r="Z51" i="9"/>
  <c r="Y51" i="9"/>
  <c r="X51" i="9"/>
  <c r="W51" i="9"/>
  <c r="Z50" i="9"/>
  <c r="Y50" i="9"/>
  <c r="X50" i="9"/>
  <c r="W50" i="9"/>
  <c r="Z46" i="9"/>
  <c r="Y46" i="9"/>
  <c r="X46" i="9"/>
  <c r="W46" i="9"/>
  <c r="Z45" i="9"/>
  <c r="Y45" i="9"/>
  <c r="X45" i="9"/>
  <c r="W45" i="9"/>
  <c r="Z44" i="9"/>
  <c r="Y44" i="9"/>
  <c r="X44" i="9"/>
  <c r="W44" i="9"/>
  <c r="Z43" i="9"/>
  <c r="Y43" i="9"/>
  <c r="X43" i="9"/>
  <c r="W43" i="9"/>
  <c r="Z39" i="9"/>
  <c r="Y39" i="9"/>
  <c r="X39" i="9"/>
  <c r="W39" i="9"/>
  <c r="Z38" i="9"/>
  <c r="Y38" i="9"/>
  <c r="X38" i="9"/>
  <c r="W38" i="9"/>
  <c r="Z37" i="9"/>
  <c r="Y37" i="9"/>
  <c r="X37" i="9"/>
  <c r="W37" i="9"/>
  <c r="Z36" i="9"/>
  <c r="Y36" i="9"/>
  <c r="X36" i="9"/>
  <c r="W36" i="9"/>
  <c r="Z32" i="9"/>
  <c r="Y32" i="9"/>
  <c r="X32" i="9"/>
  <c r="W32" i="9"/>
  <c r="Z31" i="9"/>
  <c r="Y31" i="9"/>
  <c r="X31" i="9"/>
  <c r="W31" i="9"/>
  <c r="Z30" i="9"/>
  <c r="Y30" i="9"/>
  <c r="X30" i="9"/>
  <c r="W30" i="9"/>
  <c r="Z29" i="9"/>
  <c r="Y29" i="9"/>
  <c r="X29" i="9"/>
  <c r="W29" i="9"/>
  <c r="Z25" i="9"/>
  <c r="Y25" i="9"/>
  <c r="X25" i="9"/>
  <c r="W25" i="9"/>
  <c r="Z24" i="9"/>
  <c r="Y24" i="9"/>
  <c r="X24" i="9"/>
  <c r="W24" i="9"/>
  <c r="Z23" i="9"/>
  <c r="Y23" i="9"/>
  <c r="X23" i="9"/>
  <c r="W23" i="9"/>
  <c r="Z22" i="9"/>
  <c r="Y22" i="9"/>
  <c r="X22" i="9"/>
  <c r="W22" i="9"/>
  <c r="O116" i="9"/>
  <c r="N116" i="9"/>
  <c r="M116" i="9"/>
  <c r="L116" i="9"/>
  <c r="O115" i="9"/>
  <c r="N115" i="9"/>
  <c r="M115" i="9"/>
  <c r="L115" i="9"/>
  <c r="O114" i="9"/>
  <c r="N114" i="9"/>
  <c r="M114" i="9"/>
  <c r="L114" i="9"/>
  <c r="O113" i="9"/>
  <c r="N113" i="9"/>
  <c r="M113" i="9"/>
  <c r="L113" i="9"/>
  <c r="O109" i="9"/>
  <c r="N109" i="9"/>
  <c r="M109" i="9"/>
  <c r="L109" i="9"/>
  <c r="O108" i="9"/>
  <c r="N108" i="9"/>
  <c r="M108" i="9"/>
  <c r="L108" i="9"/>
  <c r="O107" i="9"/>
  <c r="N107" i="9"/>
  <c r="M107" i="9"/>
  <c r="L107" i="9"/>
  <c r="O106" i="9"/>
  <c r="N106" i="9"/>
  <c r="M106" i="9"/>
  <c r="L106" i="9"/>
  <c r="O102" i="9"/>
  <c r="N102" i="9"/>
  <c r="M102" i="9"/>
  <c r="L102" i="9"/>
  <c r="O101" i="9"/>
  <c r="N101" i="9"/>
  <c r="M101" i="9"/>
  <c r="L101" i="9"/>
  <c r="O100" i="9"/>
  <c r="N100" i="9"/>
  <c r="M100" i="9"/>
  <c r="L100" i="9"/>
  <c r="O99" i="9"/>
  <c r="N99" i="9"/>
  <c r="M99" i="9"/>
  <c r="L99" i="9"/>
  <c r="O95" i="9"/>
  <c r="N95" i="9"/>
  <c r="M95" i="9"/>
  <c r="L95" i="9"/>
  <c r="O94" i="9"/>
  <c r="N94" i="9"/>
  <c r="M94" i="9"/>
  <c r="L94" i="9"/>
  <c r="O93" i="9"/>
  <c r="N93" i="9"/>
  <c r="M93" i="9"/>
  <c r="L93" i="9"/>
  <c r="O92" i="9"/>
  <c r="N92" i="9"/>
  <c r="M92" i="9"/>
  <c r="L92" i="9"/>
  <c r="O88" i="9"/>
  <c r="N88" i="9"/>
  <c r="M88" i="9"/>
  <c r="L88" i="9"/>
  <c r="O87" i="9"/>
  <c r="N87" i="9"/>
  <c r="M87" i="9"/>
  <c r="L87" i="9"/>
  <c r="O86" i="9"/>
  <c r="N86" i="9"/>
  <c r="M86" i="9"/>
  <c r="L86" i="9"/>
  <c r="O85" i="9"/>
  <c r="N85" i="9"/>
  <c r="M85" i="9"/>
  <c r="L85" i="9"/>
  <c r="O81" i="9"/>
  <c r="N81" i="9"/>
  <c r="M81" i="9"/>
  <c r="L81" i="9"/>
  <c r="O80" i="9"/>
  <c r="N80" i="9"/>
  <c r="M80" i="9"/>
  <c r="L80" i="9"/>
  <c r="O79" i="9"/>
  <c r="N79" i="9"/>
  <c r="M79" i="9"/>
  <c r="L79" i="9"/>
  <c r="O78" i="9"/>
  <c r="N78" i="9"/>
  <c r="M78" i="9"/>
  <c r="L78" i="9"/>
  <c r="O74" i="9"/>
  <c r="N74" i="9"/>
  <c r="M74" i="9"/>
  <c r="L74" i="9"/>
  <c r="O73" i="9"/>
  <c r="N73" i="9"/>
  <c r="M73" i="9"/>
  <c r="L73" i="9"/>
  <c r="O72" i="9"/>
  <c r="N72" i="9"/>
  <c r="M72" i="9"/>
  <c r="L72" i="9"/>
  <c r="O71" i="9"/>
  <c r="N71" i="9"/>
  <c r="M71" i="9"/>
  <c r="L71" i="9"/>
  <c r="O67" i="9"/>
  <c r="N67" i="9"/>
  <c r="M67" i="9"/>
  <c r="L67" i="9"/>
  <c r="O66" i="9"/>
  <c r="N66" i="9"/>
  <c r="M66" i="9"/>
  <c r="L66" i="9"/>
  <c r="O65" i="9"/>
  <c r="N65" i="9"/>
  <c r="M65" i="9"/>
  <c r="L65" i="9"/>
  <c r="O64" i="9"/>
  <c r="N64" i="9"/>
  <c r="M64" i="9"/>
  <c r="L64" i="9"/>
  <c r="O60" i="9"/>
  <c r="N60" i="9"/>
  <c r="M60" i="9"/>
  <c r="L60" i="9"/>
  <c r="O59" i="9"/>
  <c r="N59" i="9"/>
  <c r="M59" i="9"/>
  <c r="L59" i="9"/>
  <c r="O58" i="9"/>
  <c r="N58" i="9"/>
  <c r="M58" i="9"/>
  <c r="L58" i="9"/>
  <c r="O57" i="9"/>
  <c r="N57" i="9"/>
  <c r="M57" i="9"/>
  <c r="L57" i="9"/>
  <c r="O53" i="9"/>
  <c r="N53" i="9"/>
  <c r="M53" i="9"/>
  <c r="L53" i="9"/>
  <c r="O52" i="9"/>
  <c r="N52" i="9"/>
  <c r="M52" i="9"/>
  <c r="L52" i="9"/>
  <c r="O51" i="9"/>
  <c r="N51" i="9"/>
  <c r="M51" i="9"/>
  <c r="L51" i="9"/>
  <c r="O50" i="9"/>
  <c r="N50" i="9"/>
  <c r="M50" i="9"/>
  <c r="L50" i="9"/>
  <c r="O46" i="9"/>
  <c r="N46" i="9"/>
  <c r="M46" i="9"/>
  <c r="L46" i="9"/>
  <c r="O45" i="9"/>
  <c r="N45" i="9"/>
  <c r="M45" i="9"/>
  <c r="L45" i="9"/>
  <c r="O44" i="9"/>
  <c r="N44" i="9"/>
  <c r="M44" i="9"/>
  <c r="L44" i="9"/>
  <c r="O43" i="9"/>
  <c r="N43" i="9"/>
  <c r="M43" i="9"/>
  <c r="L43" i="9"/>
  <c r="O39" i="9"/>
  <c r="N39" i="9"/>
  <c r="M39" i="9"/>
  <c r="L39" i="9"/>
  <c r="O38" i="9"/>
  <c r="N38" i="9"/>
  <c r="M38" i="9"/>
  <c r="L38" i="9"/>
  <c r="O37" i="9"/>
  <c r="N37" i="9"/>
  <c r="M37" i="9"/>
  <c r="L37" i="9"/>
  <c r="O36" i="9"/>
  <c r="N36" i="9"/>
  <c r="M36" i="9"/>
  <c r="L36" i="9"/>
  <c r="O32" i="9"/>
  <c r="N32" i="9"/>
  <c r="M32" i="9"/>
  <c r="L32" i="9"/>
  <c r="O31" i="9"/>
  <c r="N31" i="9"/>
  <c r="M31" i="9"/>
  <c r="L31" i="9"/>
  <c r="O30" i="9"/>
  <c r="N30" i="9"/>
  <c r="M30" i="9"/>
  <c r="L30" i="9"/>
  <c r="O29" i="9"/>
  <c r="N29" i="9"/>
  <c r="M29" i="9"/>
  <c r="L29" i="9"/>
  <c r="L25" i="9"/>
  <c r="M25" i="9"/>
  <c r="N25" i="9"/>
  <c r="O25" i="9"/>
  <c r="O24" i="9"/>
  <c r="N24" i="9"/>
  <c r="M24" i="9"/>
  <c r="L24" i="9"/>
  <c r="N23" i="9"/>
  <c r="O23" i="9"/>
  <c r="M23" i="9"/>
  <c r="L23" i="9"/>
  <c r="O22" i="9"/>
  <c r="N22" i="9"/>
  <c r="M22" i="9"/>
  <c r="L22" i="9"/>
</calcChain>
</file>

<file path=xl/sharedStrings.xml><?xml version="1.0" encoding="utf-8"?>
<sst xmlns="http://schemas.openxmlformats.org/spreadsheetml/2006/main" count="253" uniqueCount="133">
  <si>
    <t xml:space="preserve">Revision     </t>
  </si>
  <si>
    <t>Date:</t>
  </si>
  <si>
    <t>Likelihood (L)</t>
  </si>
  <si>
    <t>DATE</t>
  </si>
  <si>
    <t>CAUTION</t>
  </si>
  <si>
    <t>ALERT</t>
  </si>
  <si>
    <t>ALARM</t>
  </si>
  <si>
    <t>HAZARD (2)</t>
  </si>
  <si>
    <t>AT RISK(3)</t>
  </si>
  <si>
    <t>INITIAL RISK (4)</t>
  </si>
  <si>
    <t>L</t>
  </si>
  <si>
    <t>S</t>
  </si>
  <si>
    <t>R</t>
  </si>
  <si>
    <t>RESIDUAL RISK (6)</t>
  </si>
  <si>
    <t>PROJECT</t>
  </si>
  <si>
    <t>OPERATION</t>
  </si>
  <si>
    <t>OWNER</t>
  </si>
  <si>
    <t>APPROVER</t>
  </si>
  <si>
    <t>SEVERITY</t>
  </si>
  <si>
    <t>LIKELIHOOD</t>
  </si>
  <si>
    <t>TASK(1)
Include Tools, Chemicals etc</t>
  </si>
  <si>
    <r>
      <t xml:space="preserve">(3) </t>
    </r>
    <r>
      <rPr>
        <b/>
        <i/>
        <sz val="8"/>
        <rFont val="Arial"/>
        <family val="2"/>
      </rPr>
      <t xml:space="preserve">Resources at Risk </t>
    </r>
    <r>
      <rPr>
        <i/>
        <sz val="8"/>
        <rFont val="Arial"/>
        <family val="2"/>
      </rPr>
      <t xml:space="preserve">- </t>
    </r>
    <r>
      <rPr>
        <b/>
        <i/>
        <sz val="8"/>
        <rFont val="Arial"/>
        <family val="2"/>
      </rPr>
      <t xml:space="preserve">A </t>
    </r>
    <r>
      <rPr>
        <i/>
        <sz val="8"/>
        <rFont val="Arial"/>
        <family val="2"/>
      </rPr>
      <t xml:space="preserve">Assets, </t>
    </r>
    <r>
      <rPr>
        <b/>
        <i/>
        <sz val="8"/>
        <rFont val="Arial"/>
        <family val="2"/>
      </rPr>
      <t>E</t>
    </r>
    <r>
      <rPr>
        <i/>
        <sz val="8"/>
        <rFont val="Arial"/>
        <family val="2"/>
      </rPr>
      <t xml:space="preserve"> Environment and </t>
    </r>
    <r>
      <rPr>
        <b/>
        <i/>
        <sz val="8"/>
        <rFont val="Arial"/>
        <family val="2"/>
      </rPr>
      <t>P</t>
    </r>
    <r>
      <rPr>
        <i/>
        <sz val="8"/>
        <rFont val="Arial"/>
        <family val="2"/>
      </rPr>
      <t xml:space="preserve"> People</t>
    </r>
  </si>
  <si>
    <t>Assets</t>
  </si>
  <si>
    <t>People</t>
  </si>
  <si>
    <t>Environment</t>
  </si>
  <si>
    <r>
      <t>4</t>
    </r>
    <r>
      <rPr>
        <sz val="8"/>
        <rFont val="Arial"/>
        <family val="2"/>
      </rPr>
      <t xml:space="preserve"> - Almost Certain - &gt;75% likelihood to occur.</t>
    </r>
  </si>
  <si>
    <r>
      <t>3</t>
    </r>
    <r>
      <rPr>
        <sz val="8"/>
        <rFont val="Arial"/>
        <family val="2"/>
      </rPr>
      <t>- Probable - 50% to 75% chance of occurring</t>
    </r>
  </si>
  <si>
    <r>
      <t>1</t>
    </r>
    <r>
      <rPr>
        <sz val="8"/>
        <rFont val="Arial"/>
        <family val="2"/>
      </rPr>
      <t xml:space="preserve"> - Unlikely - Little or no chance of occurring.</t>
    </r>
  </si>
  <si>
    <r>
      <t>4</t>
    </r>
    <r>
      <rPr>
        <sz val="8"/>
        <rFont val="Arial"/>
        <family val="2"/>
      </rPr>
      <t xml:space="preserve"> - Severe or Devastating - Permanent disability/fatality, major contamination, property damage &amp; work suspension.</t>
    </r>
  </si>
  <si>
    <r>
      <t>3</t>
    </r>
    <r>
      <rPr>
        <sz val="8"/>
        <rFont val="Arial"/>
        <family val="2"/>
      </rPr>
      <t xml:space="preserve"> - Significant - Serious LT injury, short term damage within facility requiring work suspension to respond.</t>
    </r>
  </si>
  <si>
    <r>
      <t>2</t>
    </r>
    <r>
      <rPr>
        <sz val="8"/>
        <rFont val="Arial"/>
        <family val="2"/>
      </rPr>
      <t xml:space="preserve"> - Serious - Medical Treatment/Recordable Injury, minor damage rapid onsite clean-up.</t>
    </r>
  </si>
  <si>
    <r>
      <t>2</t>
    </r>
    <r>
      <rPr>
        <sz val="8"/>
        <rFont val="Arial"/>
        <family val="2"/>
      </rPr>
      <t xml:space="preserve"> - Likely - 25% to 50% chance of occuring.</t>
    </r>
  </si>
  <si>
    <r>
      <t>1</t>
    </r>
    <r>
      <rPr>
        <sz val="8"/>
        <rFont val="Arial"/>
        <family val="2"/>
      </rPr>
      <t xml:space="preserve"> - Minor - First Aid non-recordable injury or No injury, little to no environmental impact, no/minor property damage.</t>
    </r>
  </si>
  <si>
    <t>RISK ASSESSMENT</t>
  </si>
  <si>
    <t>Severity or Consequence (S)</t>
  </si>
  <si>
    <t xml:space="preserve"> - combination of probablity and frequency </t>
  </si>
  <si>
    <t>Warning Matrix</t>
  </si>
  <si>
    <t>WORKPLACE PRECAUTIONS (5)
Evidence required that the hiearchy of control has been used.</t>
  </si>
  <si>
    <t>Team:</t>
  </si>
  <si>
    <t>EJMS assessment required?</t>
  </si>
  <si>
    <t>EJMS ID# no:</t>
  </si>
  <si>
    <t>EJMS score:</t>
  </si>
  <si>
    <r>
      <rPr>
        <sz val="6"/>
        <rFont val="Arial"/>
        <family val="2"/>
      </rPr>
      <t>Circle one</t>
    </r>
    <r>
      <rPr>
        <sz val="8"/>
        <rFont val="Arial"/>
        <family val="2"/>
      </rPr>
      <t xml:space="preserve">                                                          </t>
    </r>
    <r>
      <rPr>
        <sz val="10"/>
        <rFont val="Arial"/>
        <family val="2"/>
      </rPr>
      <t>Yes       No</t>
    </r>
  </si>
  <si>
    <t>Hazard Description Identification</t>
  </si>
  <si>
    <t>Biological (first aid, skin conditions, water quality)</t>
  </si>
  <si>
    <t>Potential to cause Explosion (gas, chemical, dust)</t>
  </si>
  <si>
    <t>Chemicals</t>
  </si>
  <si>
    <t>Potential to cause Fire</t>
  </si>
  <si>
    <t>Compressed Gas (air or gas)</t>
  </si>
  <si>
    <t>Potential to harm the environment</t>
  </si>
  <si>
    <t>Confined Spaces</t>
  </si>
  <si>
    <t>Pressurised Systems</t>
  </si>
  <si>
    <t>Contact with Hot / Cold Surfaces or Materials</t>
  </si>
  <si>
    <t>Puncture</t>
  </si>
  <si>
    <t>Crushing or Pinch Points</t>
  </si>
  <si>
    <t>Radiation (ionising and non-ionising)</t>
  </si>
  <si>
    <t>Deep Water</t>
  </si>
  <si>
    <t>Residual Stored Energy</t>
  </si>
  <si>
    <t>Dust</t>
  </si>
  <si>
    <t>Risk of falling objects</t>
  </si>
  <si>
    <t>Ejection of Fluids or Objects</t>
  </si>
  <si>
    <t>Service pipelines unidentified</t>
  </si>
  <si>
    <t>Electricity</t>
  </si>
  <si>
    <t>Sharps (edges and tooling)</t>
  </si>
  <si>
    <t>Entrapment or Drawing In</t>
  </si>
  <si>
    <t>Shear</t>
  </si>
  <si>
    <t>Ergonomics</t>
  </si>
  <si>
    <t>Signage (poor, missing)</t>
  </si>
  <si>
    <t>Friction</t>
  </si>
  <si>
    <t>Slips, Trips &amp; Falls</t>
  </si>
  <si>
    <t>Fumes</t>
  </si>
  <si>
    <t>Spillage</t>
  </si>
  <si>
    <t>Hand tools (powered &amp; non-powered)</t>
  </si>
  <si>
    <t>Steam</t>
  </si>
  <si>
    <t>Hot Works</t>
  </si>
  <si>
    <t>Vehicles (powered &amp; non-powered)</t>
  </si>
  <si>
    <t>Impact</t>
  </si>
  <si>
    <t>Vibration</t>
  </si>
  <si>
    <t>Layout and Labelling of Controls</t>
  </si>
  <si>
    <t>Violence</t>
  </si>
  <si>
    <t>Lighting Conditions</t>
  </si>
  <si>
    <t>Visual Display Unit (VDU)</t>
  </si>
  <si>
    <t>Lone Working</t>
  </si>
  <si>
    <t>Weather Conditions</t>
  </si>
  <si>
    <t>Manual Handling Operations</t>
  </si>
  <si>
    <t>Working at Height (falling objects, falling off, falling through)</t>
  </si>
  <si>
    <t>Noise</t>
  </si>
  <si>
    <t>Working Environment</t>
  </si>
  <si>
    <r>
      <rPr>
        <b/>
        <sz val="12"/>
        <rFont val="Arial"/>
        <family val="2"/>
      </rPr>
      <t>AMS-MFE-TMP-016-05-V1</t>
    </r>
    <r>
      <rPr>
        <sz val="12"/>
        <rFont val="Arial"/>
        <family val="2"/>
      </rPr>
      <t xml:space="preserve">
Refer to following documents:
AS/NZS 4024.1201:2014
Worksafe NZ - Safe Use of Machinery Best Practice Guidelines (2014)</t>
    </r>
  </si>
  <si>
    <t>J Jury, B Moase</t>
  </si>
  <si>
    <t>WDT UP15 Bench Terminator 551PE</t>
  </si>
  <si>
    <t>J Jury</t>
  </si>
  <si>
    <t>Wire Terminating</t>
  </si>
  <si>
    <t>D White</t>
  </si>
  <si>
    <t>Solder</t>
  </si>
  <si>
    <t xml:space="preserve">Lead posioning </t>
  </si>
  <si>
    <t>Eliminate - No
Substitute - No
Isolate - No
Engineer - Extraction system
Admin - Procedure to open windows before soldering
PPE - N/A</t>
  </si>
  <si>
    <t>Burn</t>
  </si>
  <si>
    <t>Eliminate - No
Substitute - No
Isolate - No
Engineer - No
Admin - Prevent solder splatter 
PPE - Covering arms and legs or wearing heat proof gloves</t>
  </si>
  <si>
    <t>Malfunctions/Fire hazard</t>
  </si>
  <si>
    <t>Eliminate - No
Substitute - No
Isolate - No
Engineer - No
Admin - Washing hands, and think more concisely 
PPE - N/A</t>
  </si>
  <si>
    <t>Eliminate - No
Substitute - No
Isolate - Heat resistance mat. Set up soldering zone.
Engineer - Fire extingusiher readily availiable
Admin - Check soldering iron is turned on at the start and at the end of operation. 
PPE - No</t>
  </si>
  <si>
    <t>Chemical exposure</t>
  </si>
  <si>
    <t>Eliminate - No
Substitute - No
Isolate - No
Engineer - No
Admin - Spill kit 
PPE - Covering arms and legs and wearing gloves</t>
  </si>
  <si>
    <t>Stripping wires</t>
  </si>
  <si>
    <t>Pinch points</t>
  </si>
  <si>
    <t>Eliminate - No
Substitute - No
Isolate - No
Engineer - No
Admin -  Safety procedure SOP
PPE - Wearing gloves</t>
  </si>
  <si>
    <t>Eletrical assembly</t>
  </si>
  <si>
    <t xml:space="preserve">Tools </t>
  </si>
  <si>
    <t>Eliminate - No 
Substitute - No
Isolate - No
Engineer - No
Admin - Safety procedure SOP
PPE - N/A</t>
  </si>
  <si>
    <t xml:space="preserve">Short ciruiting </t>
  </si>
  <si>
    <t>Eliminate - No
Substitute - No
Isolate - No
Engineer - No
Admin - Visual inspection
PPE - N/A</t>
  </si>
  <si>
    <t>Testing electrical components</t>
  </si>
  <si>
    <t xml:space="preserve">Testing electrical components </t>
  </si>
  <si>
    <t>Electric shocks</t>
  </si>
  <si>
    <t>Eletrical static discharge</t>
  </si>
  <si>
    <t>Eliminate - No
Substitute - No
Isolate - No
Engineer - Wearing ESD
Admin - Visual inspection 
PPE - No</t>
  </si>
  <si>
    <t>Eliminate - No
Substitute - No
Isolate - No
Engineer - No
Admin - Visual inspection 
PPE - No</t>
  </si>
  <si>
    <t>Setup of testing environment</t>
  </si>
  <si>
    <t>Water spillage (Loss of containment)</t>
  </si>
  <si>
    <t>Eliminate - No
Substitute - No
Isolate -Keep water clear from foot traffic and electrical gear.
Engineer - Improve container design 
Admin - Check quality of containers
PPE - N/A</t>
  </si>
  <si>
    <t>Slip and trip hazards</t>
  </si>
  <si>
    <t>Eliminate - Cable management
Substitute - No
Isolate - Keep water clear from foot traffic and electrical gear.
Engineer - No
Admin - Put out a sign if there is water on the floor and clean up as soon as possible.
PPE - N/A</t>
  </si>
  <si>
    <t>Injury from lifting or dropping testing equipment</t>
  </si>
  <si>
    <t>Eliminate - No
Substitute - No
Isolate - No
Engineer -  Use lifting aid
Admin - Proper lifting technique
PPE - No</t>
  </si>
  <si>
    <t>Designing PCB</t>
  </si>
  <si>
    <t>Project fails</t>
  </si>
  <si>
    <t>Eliminate - No
Substitute - No
Isolate - No
Engineer -  No
Admin - Have an engineer review the design
PPE - No</t>
  </si>
  <si>
    <t>Heat Shrinking</t>
  </si>
  <si>
    <t>Burns from heat gun</t>
  </si>
  <si>
    <t>Eliminate - No
Substitute - No
Isolate - No
Engineer -  No
Admin - Instructrion to keep hands clear of heat gun and hold cable away from where heat is applied.
PPE - No</t>
  </si>
  <si>
    <t>Damage to envirnment</t>
  </si>
  <si>
    <t>Eliminate - No
Substitute - No
Isolate - No
Engineer -  Heat proof mat on surfaces where the heat gun will be.
Admin - No
PPE -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</si>
</sst>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0"/>
      <name val="Arial"/>
      <family val="2"/>
    </font>
    <font>
      <b/>
      <sz val="15"/>
      <name val="Arial"/>
      <family val="2"/>
    </font>
    <font>
      <sz val="8"/>
      <name val="Arial"/>
      <family val="2"/>
    </font>
    <font>
      <b/>
      <i/>
      <u/>
      <sz val="8"/>
      <name val="Arial"/>
      <family val="2"/>
    </font>
    <font>
      <sz val="11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sz val="6"/>
      <name val="Arial"/>
      <family val="2"/>
    </font>
    <font>
      <sz val="13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" fillId="0" borderId="2" xfId="0" applyFont="1" applyBorder="1" applyAlignment="1">
      <alignment vertical="top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textRotation="90" wrapText="1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8" fillId="0" borderId="3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 wrapText="1"/>
    </xf>
    <xf numFmtId="2" fontId="10" fillId="4" borderId="1" xfId="0" applyNumberFormat="1" applyFont="1" applyFill="1" applyBorder="1" applyAlignment="1">
      <alignment horizontal="center" vertical="center" wrapText="1"/>
    </xf>
    <xf numFmtId="2" fontId="10" fillId="3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4" xfId="0" applyBorder="1"/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13" fillId="0" borderId="2" xfId="0" applyFont="1" applyBorder="1" applyAlignment="1">
      <alignment horizontal="left" vertical="top"/>
    </xf>
    <xf numFmtId="0" fontId="16" fillId="0" borderId="2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3" fillId="0" borderId="9" xfId="0" applyFont="1" applyBorder="1" applyAlignment="1">
      <alignment vertical="top"/>
    </xf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vertical="top"/>
    </xf>
    <xf numFmtId="0" fontId="3" fillId="0" borderId="1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8" xfId="0" applyFont="1" applyBorder="1" applyAlignment="1">
      <alignment horizontal="right" vertical="top"/>
    </xf>
    <xf numFmtId="0" fontId="3" fillId="0" borderId="5" xfId="0" applyFont="1" applyBorder="1" applyAlignment="1">
      <alignment horizontal="left" vertical="top"/>
    </xf>
    <xf numFmtId="0" fontId="0" fillId="0" borderId="11" xfId="0" applyBorder="1" applyAlignment="1">
      <alignment vertical="top"/>
    </xf>
    <xf numFmtId="0" fontId="11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15" fontId="17" fillId="0" borderId="3" xfId="0" applyNumberFormat="1" applyFont="1" applyBorder="1" applyAlignment="1">
      <alignment horizontal="left" vertical="top"/>
    </xf>
    <xf numFmtId="0" fontId="0" fillId="0" borderId="0" xfId="0" applyAlignment="1">
      <alignment vertical="top"/>
    </xf>
    <xf numFmtId="15" fontId="3" fillId="0" borderId="0" xfId="0" applyNumberFormat="1" applyFont="1" applyAlignment="1">
      <alignment horizontal="left" vertical="top"/>
    </xf>
    <xf numFmtId="0" fontId="3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2" fontId="10" fillId="6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right" vertical="top"/>
    </xf>
    <xf numFmtId="0" fontId="9" fillId="0" borderId="0" xfId="0" applyFont="1" applyAlignment="1">
      <alignment vertical="top" wrapText="1"/>
    </xf>
    <xf numFmtId="0" fontId="9" fillId="0" borderId="1" xfId="0" applyFont="1" applyBorder="1" applyAlignment="1">
      <alignment vertical="center" wrapText="1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left"/>
    </xf>
    <xf numFmtId="0" fontId="0" fillId="7" borderId="11" xfId="0" applyFill="1" applyBorder="1"/>
    <xf numFmtId="0" fontId="1" fillId="7" borderId="14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1" fontId="22" fillId="7" borderId="14" xfId="0" applyNumberFormat="1" applyFont="1" applyFill="1" applyBorder="1" applyAlignment="1">
      <alignment horizontal="center" vertical="center" wrapText="1"/>
    </xf>
    <xf numFmtId="0" fontId="0" fillId="7" borderId="4" xfId="0" applyFill="1" applyBorder="1"/>
    <xf numFmtId="1" fontId="22" fillId="7" borderId="0" xfId="0" applyNumberFormat="1" applyFont="1" applyFill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" fontId="1" fillId="7" borderId="14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0" fillId="7" borderId="7" xfId="0" applyFill="1" applyBorder="1"/>
    <xf numFmtId="0" fontId="19" fillId="7" borderId="2" xfId="0" applyFont="1" applyFill="1" applyBorder="1" applyAlignment="1">
      <alignment vertical="top" wrapText="1"/>
    </xf>
    <xf numFmtId="0" fontId="0" fillId="7" borderId="2" xfId="0" applyFill="1" applyBorder="1"/>
    <xf numFmtId="0" fontId="0" fillId="7" borderId="6" xfId="0" applyFill="1" applyBorder="1"/>
    <xf numFmtId="0" fontId="19" fillId="0" borderId="0" xfId="0" applyFont="1" applyAlignment="1">
      <alignment vertical="top" wrapText="1"/>
    </xf>
    <xf numFmtId="0" fontId="1" fillId="0" borderId="1" xfId="0" applyFont="1" applyBorder="1" applyAlignment="1">
      <alignment horizontal="right" vertical="top"/>
    </xf>
    <xf numFmtId="0" fontId="23" fillId="0" borderId="8" xfId="0" applyFont="1" applyBorder="1" applyAlignment="1">
      <alignment horizontal="left" vertical="top" wrapText="1"/>
    </xf>
    <xf numFmtId="0" fontId="20" fillId="0" borderId="5" xfId="0" applyFont="1" applyBorder="1" applyAlignment="1">
      <alignment horizontal="left" vertical="top"/>
    </xf>
    <xf numFmtId="0" fontId="20" fillId="0" borderId="11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4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textRotation="90" wrapText="1"/>
    </xf>
    <xf numFmtId="0" fontId="10" fillId="0" borderId="3" xfId="0" applyFont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1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top"/>
    </xf>
    <xf numFmtId="0" fontId="18" fillId="0" borderId="10" xfId="0" applyFont="1" applyBorder="1" applyAlignment="1">
      <alignment horizontal="left" vertical="top"/>
    </xf>
    <xf numFmtId="0" fontId="18" fillId="0" borderId="12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15" fontId="3" fillId="0" borderId="1" xfId="0" applyNumberFormat="1" applyFont="1" applyBorder="1" applyAlignment="1">
      <alignment horizontal="left" vertical="top"/>
    </xf>
    <xf numFmtId="0" fontId="9" fillId="0" borderId="8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3" fillId="0" borderId="12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0" fillId="0" borderId="9" xfId="0" applyBorder="1" applyAlignment="1">
      <alignment vertical="top"/>
    </xf>
    <xf numFmtId="0" fontId="1" fillId="0" borderId="12" xfId="0" applyFont="1" applyBorder="1" applyAlignment="1">
      <alignment vertical="top"/>
    </xf>
    <xf numFmtId="0" fontId="9" fillId="0" borderId="9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9" fillId="0" borderId="12" xfId="0" applyFont="1" applyBorder="1" applyAlignment="1">
      <alignment horizontal="center" vertical="top"/>
    </xf>
    <xf numFmtId="0" fontId="13" fillId="0" borderId="2" xfId="0" applyFont="1" applyBorder="1" applyAlignment="1">
      <alignment horizontal="left" vertical="top"/>
    </xf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12" xfId="0" applyFont="1" applyBorder="1" applyAlignment="1">
      <alignment vertical="top"/>
    </xf>
    <xf numFmtId="0" fontId="10" fillId="7" borderId="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1109382</xdr:colOff>
      <xdr:row>3</xdr:row>
      <xdr:rowOff>2250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B86556-1E40-4C58-895B-BCB0BD1A4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09432" cy="62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AA146"/>
  <sheetViews>
    <sheetView tabSelected="1" showWhiteSpace="0" view="pageLayout" topLeftCell="A125" zoomScaleNormal="50" zoomScaleSheetLayoutView="100" workbookViewId="0">
      <selection activeCell="D134" sqref="D134:F139"/>
    </sheetView>
  </sheetViews>
  <sheetFormatPr defaultRowHeight="13.2" x14ac:dyDescent="0.25"/>
  <cols>
    <col min="1" max="1" width="21.5546875" customWidth="1"/>
    <col min="2" max="2" width="5.33203125" customWidth="1"/>
    <col min="3" max="3" width="7.5546875" customWidth="1"/>
    <col min="4" max="4" width="7.88671875" customWidth="1"/>
    <col min="5" max="5" width="8.44140625" customWidth="1"/>
    <col min="6" max="6" width="7.6640625" customWidth="1"/>
    <col min="7" max="7" width="15" customWidth="1"/>
    <col min="8" max="9" width="5.33203125" customWidth="1"/>
    <col min="10" max="10" width="4.88671875" customWidth="1"/>
    <col min="11" max="11" width="5.44140625" customWidth="1"/>
    <col min="12" max="12" width="4.6640625" customWidth="1"/>
    <col min="13" max="13" width="4.44140625" customWidth="1"/>
    <col min="14" max="14" width="4.33203125" customWidth="1"/>
    <col min="15" max="15" width="4.5546875" customWidth="1"/>
    <col min="16" max="16" width="8.88671875" customWidth="1"/>
    <col min="17" max="17" width="11.88671875" customWidth="1"/>
    <col min="18" max="18" width="16.33203125" customWidth="1"/>
    <col min="19" max="19" width="6.5546875" customWidth="1"/>
    <col min="20" max="20" width="6.33203125" customWidth="1"/>
    <col min="21" max="21" width="5.33203125" customWidth="1"/>
    <col min="22" max="23" width="4.88671875" customWidth="1"/>
    <col min="24" max="25" width="5.5546875" customWidth="1"/>
    <col min="26" max="26" width="8.6640625" style="28" customWidth="1"/>
    <col min="27" max="27" width="0.109375" hidden="1" customWidth="1"/>
    <col min="28" max="28" width="9.33203125" customWidth="1"/>
    <col min="29" max="29" width="14.109375" customWidth="1"/>
  </cols>
  <sheetData>
    <row r="1" spans="1:26" s="1" customFormat="1" ht="21.75" customHeight="1" x14ac:dyDescent="0.25">
      <c r="A1" s="77" t="s">
        <v>88</v>
      </c>
      <c r="B1" s="78"/>
      <c r="C1" s="78"/>
      <c r="D1" s="79"/>
      <c r="E1" s="83" t="s">
        <v>33</v>
      </c>
      <c r="F1" s="84"/>
      <c r="G1" s="84"/>
      <c r="H1" s="84"/>
      <c r="I1" s="84"/>
      <c r="J1" s="84"/>
      <c r="K1" s="84"/>
      <c r="L1" s="84"/>
      <c r="M1" s="84"/>
      <c r="N1" s="84"/>
      <c r="O1" s="84"/>
      <c r="P1" s="85"/>
      <c r="Q1" s="141" t="s">
        <v>0</v>
      </c>
      <c r="R1" s="141"/>
      <c r="S1" s="150">
        <v>1</v>
      </c>
      <c r="T1" s="151"/>
      <c r="U1" s="151"/>
      <c r="V1" s="151"/>
      <c r="W1" s="151"/>
      <c r="X1" s="151"/>
      <c r="Y1" s="151"/>
      <c r="Z1" s="151"/>
    </row>
    <row r="2" spans="1:26" s="1" customFormat="1" ht="19.5" customHeight="1" x14ac:dyDescent="0.25">
      <c r="A2" s="80"/>
      <c r="B2" s="81"/>
      <c r="C2" s="81"/>
      <c r="D2" s="82"/>
      <c r="E2" s="86"/>
      <c r="F2" s="87"/>
      <c r="G2" s="87"/>
      <c r="H2" s="87"/>
      <c r="I2" s="87"/>
      <c r="J2" s="87"/>
      <c r="K2" s="87"/>
      <c r="L2" s="87"/>
      <c r="M2" s="87"/>
      <c r="N2" s="87"/>
      <c r="O2" s="87"/>
      <c r="P2" s="88"/>
      <c r="Q2" s="141" t="s">
        <v>1</v>
      </c>
      <c r="R2" s="141"/>
      <c r="S2" s="145">
        <v>45254</v>
      </c>
      <c r="T2" s="145"/>
      <c r="U2" s="145"/>
      <c r="V2" s="145"/>
      <c r="W2" s="145"/>
      <c r="X2" s="145"/>
      <c r="Y2" s="145"/>
      <c r="Z2" s="145"/>
    </row>
    <row r="3" spans="1:26" s="1" customFormat="1" ht="40.5" customHeight="1" x14ac:dyDescent="0.25">
      <c r="A3" s="80"/>
      <c r="B3" s="81"/>
      <c r="C3" s="81"/>
      <c r="D3" s="82"/>
      <c r="E3" s="86"/>
      <c r="F3" s="87"/>
      <c r="G3" s="87"/>
      <c r="H3" s="87"/>
      <c r="I3" s="87"/>
      <c r="J3" s="87"/>
      <c r="K3" s="87"/>
      <c r="L3" s="87"/>
      <c r="M3" s="87"/>
      <c r="N3" s="87"/>
      <c r="O3" s="87"/>
      <c r="P3" s="88"/>
      <c r="Q3" s="156" t="s">
        <v>38</v>
      </c>
      <c r="R3" s="157"/>
      <c r="S3" s="155" t="s">
        <v>89</v>
      </c>
      <c r="T3" s="155"/>
      <c r="U3" s="155"/>
      <c r="V3" s="155"/>
      <c r="W3" s="155"/>
      <c r="X3" s="155"/>
      <c r="Y3" s="155"/>
      <c r="Z3" s="155"/>
    </row>
    <row r="4" spans="1:26" s="1" customFormat="1" ht="40.5" customHeight="1" x14ac:dyDescent="0.25">
      <c r="A4" s="80"/>
      <c r="B4" s="81"/>
      <c r="C4" s="81"/>
      <c r="D4" s="82"/>
      <c r="E4" s="86"/>
      <c r="F4" s="87"/>
      <c r="G4" s="87"/>
      <c r="H4" s="87"/>
      <c r="I4" s="87"/>
      <c r="J4" s="87"/>
      <c r="K4" s="87"/>
      <c r="L4" s="87"/>
      <c r="M4" s="87"/>
      <c r="N4" s="87"/>
      <c r="O4" s="87"/>
      <c r="P4" s="88"/>
      <c r="Q4" s="57" t="s">
        <v>39</v>
      </c>
      <c r="R4" s="58" t="s">
        <v>42</v>
      </c>
      <c r="S4" s="162" t="s">
        <v>40</v>
      </c>
      <c r="T4" s="163"/>
      <c r="U4" s="163"/>
      <c r="V4" s="164"/>
      <c r="W4" s="163" t="s">
        <v>41</v>
      </c>
      <c r="X4" s="163"/>
      <c r="Y4" s="163"/>
      <c r="Z4" s="164"/>
    </row>
    <row r="5" spans="1:26" s="1" customFormat="1" ht="19.5" customHeight="1" x14ac:dyDescent="0.25">
      <c r="A5" s="76" t="s">
        <v>14</v>
      </c>
      <c r="B5" s="140" t="s">
        <v>90</v>
      </c>
      <c r="C5" s="141"/>
      <c r="D5" s="141"/>
      <c r="E5" s="141"/>
      <c r="F5" s="142"/>
      <c r="G5" s="56" t="s">
        <v>16</v>
      </c>
      <c r="H5" s="143" t="s">
        <v>91</v>
      </c>
      <c r="I5" s="143"/>
      <c r="J5" s="143"/>
      <c r="K5" s="143"/>
      <c r="L5" s="143"/>
      <c r="M5" s="143"/>
      <c r="N5" s="143"/>
      <c r="O5" s="143"/>
      <c r="P5" s="144"/>
      <c r="Q5" s="55" t="s">
        <v>17</v>
      </c>
      <c r="R5" s="143" t="s">
        <v>93</v>
      </c>
      <c r="S5" s="143"/>
      <c r="T5" s="143"/>
      <c r="U5" s="143"/>
      <c r="V5" s="143"/>
      <c r="W5" s="143"/>
      <c r="X5" s="143"/>
      <c r="Y5" s="143"/>
      <c r="Z5" s="144"/>
    </row>
    <row r="6" spans="1:26" s="1" customFormat="1" ht="19.5" customHeight="1" x14ac:dyDescent="0.25">
      <c r="A6" s="56" t="s">
        <v>15</v>
      </c>
      <c r="B6" s="140" t="s">
        <v>92</v>
      </c>
      <c r="C6" s="141"/>
      <c r="D6" s="141"/>
      <c r="E6" s="141"/>
      <c r="F6" s="142"/>
      <c r="G6" s="56" t="s">
        <v>3</v>
      </c>
      <c r="H6" s="145">
        <v>45254</v>
      </c>
      <c r="I6" s="143"/>
      <c r="J6" s="143"/>
      <c r="K6" s="143"/>
      <c r="L6" s="143"/>
      <c r="M6" s="143"/>
      <c r="N6" s="143"/>
      <c r="O6" s="143"/>
      <c r="P6" s="144"/>
      <c r="Q6" s="55" t="s">
        <v>3</v>
      </c>
      <c r="R6" s="145"/>
      <c r="S6" s="143"/>
      <c r="T6" s="143"/>
      <c r="U6" s="143"/>
      <c r="V6" s="143"/>
      <c r="W6" s="143"/>
      <c r="X6" s="143"/>
      <c r="Y6" s="143"/>
      <c r="Z6" s="144"/>
    </row>
    <row r="7" spans="1:26" s="1" customFormat="1" ht="11.25" customHeight="1" x14ac:dyDescent="0.25">
      <c r="A7" s="43"/>
      <c r="B7" s="44"/>
      <c r="C7" s="124" t="s">
        <v>36</v>
      </c>
      <c r="D7" s="125"/>
      <c r="E7" s="125"/>
      <c r="F7" s="126"/>
      <c r="G7" s="43"/>
      <c r="H7" s="49" t="s">
        <v>2</v>
      </c>
      <c r="I7" s="39"/>
      <c r="J7" s="39"/>
      <c r="K7" s="39"/>
      <c r="L7" s="39"/>
      <c r="M7" s="39"/>
      <c r="N7" s="39"/>
      <c r="O7" s="39"/>
      <c r="P7" s="50"/>
      <c r="Q7" s="39"/>
      <c r="R7" s="51"/>
      <c r="S7" s="39"/>
      <c r="T7" s="39"/>
      <c r="U7" s="39"/>
      <c r="V7" s="39"/>
      <c r="W7" s="39"/>
      <c r="X7" s="39"/>
      <c r="Y7" s="39"/>
      <c r="Z7" s="45"/>
    </row>
    <row r="8" spans="1:26" s="1" customFormat="1" x14ac:dyDescent="0.25">
      <c r="A8" s="31"/>
      <c r="B8" s="18"/>
      <c r="C8" s="11">
        <v>1</v>
      </c>
      <c r="D8" s="11">
        <v>2</v>
      </c>
      <c r="E8" s="11">
        <v>3</v>
      </c>
      <c r="F8" s="11">
        <v>4</v>
      </c>
      <c r="H8" s="48" t="s">
        <v>35</v>
      </c>
      <c r="I8" s="46"/>
      <c r="J8" s="47"/>
      <c r="K8" s="47"/>
      <c r="O8" s="9"/>
      <c r="P8" s="46" t="s">
        <v>34</v>
      </c>
      <c r="S8" s="47"/>
      <c r="T8" s="47"/>
      <c r="U8" s="47"/>
      <c r="V8" s="47"/>
      <c r="W8" s="47"/>
      <c r="Z8" s="9"/>
    </row>
    <row r="9" spans="1:26" s="1" customFormat="1" x14ac:dyDescent="0.25">
      <c r="A9" s="8"/>
      <c r="B9" s="7">
        <v>4</v>
      </c>
      <c r="C9" s="52" t="s">
        <v>5</v>
      </c>
      <c r="D9" s="5" t="s">
        <v>6</v>
      </c>
      <c r="E9" s="5" t="s">
        <v>6</v>
      </c>
      <c r="F9" s="5" t="s">
        <v>6</v>
      </c>
      <c r="G9" s="9"/>
      <c r="H9" s="20" t="s">
        <v>27</v>
      </c>
      <c r="I9" s="12"/>
      <c r="J9" s="12"/>
      <c r="K9" s="12"/>
      <c r="O9" s="9"/>
      <c r="P9" s="20" t="s">
        <v>32</v>
      </c>
      <c r="S9" s="12"/>
      <c r="T9" s="12"/>
      <c r="U9" s="12"/>
      <c r="V9" s="12"/>
      <c r="W9" s="12"/>
      <c r="Z9" s="9"/>
    </row>
    <row r="10" spans="1:26" s="1" customFormat="1" x14ac:dyDescent="0.25">
      <c r="A10" s="8"/>
      <c r="B10" s="7">
        <v>3</v>
      </c>
      <c r="C10" s="52" t="s">
        <v>5</v>
      </c>
      <c r="D10" s="52" t="s">
        <v>5</v>
      </c>
      <c r="E10" s="5" t="s">
        <v>6</v>
      </c>
      <c r="F10" s="5" t="s">
        <v>6</v>
      </c>
      <c r="G10" s="9"/>
      <c r="H10" s="20" t="s">
        <v>31</v>
      </c>
      <c r="I10" s="12"/>
      <c r="J10" s="12"/>
      <c r="K10" s="12"/>
      <c r="O10" s="9"/>
      <c r="P10" s="20" t="s">
        <v>30</v>
      </c>
      <c r="S10" s="12"/>
      <c r="T10" s="12"/>
      <c r="U10" s="12"/>
      <c r="V10" s="12"/>
      <c r="W10" s="12"/>
      <c r="Z10" s="9"/>
    </row>
    <row r="11" spans="1:26" s="1" customFormat="1" x14ac:dyDescent="0.25">
      <c r="A11" s="8"/>
      <c r="B11" s="7">
        <v>2</v>
      </c>
      <c r="C11" s="6" t="s">
        <v>4</v>
      </c>
      <c r="D11" s="6" t="s">
        <v>4</v>
      </c>
      <c r="E11" s="52" t="s">
        <v>5</v>
      </c>
      <c r="F11" s="52" t="s">
        <v>5</v>
      </c>
      <c r="G11" s="9"/>
      <c r="H11" s="20" t="s">
        <v>26</v>
      </c>
      <c r="I11" s="12"/>
      <c r="J11" s="12"/>
      <c r="K11" s="12"/>
      <c r="O11" s="9"/>
      <c r="P11" s="20" t="s">
        <v>29</v>
      </c>
      <c r="S11" s="12"/>
      <c r="T11" s="12"/>
      <c r="U11" s="12"/>
      <c r="V11" s="12"/>
      <c r="W11" s="12"/>
      <c r="Z11" s="9"/>
    </row>
    <row r="12" spans="1:26" s="1" customFormat="1" x14ac:dyDescent="0.25">
      <c r="A12" s="32"/>
      <c r="B12" s="7">
        <v>1</v>
      </c>
      <c r="C12" s="4"/>
      <c r="D12" s="4"/>
      <c r="E12" s="6" t="s">
        <v>4</v>
      </c>
      <c r="F12" s="6" t="s">
        <v>4</v>
      </c>
      <c r="G12" s="19"/>
      <c r="H12" s="21" t="s">
        <v>25</v>
      </c>
      <c r="I12" s="17"/>
      <c r="J12" s="17"/>
      <c r="K12" s="17"/>
      <c r="L12" s="3"/>
      <c r="M12" s="3"/>
      <c r="N12" s="3"/>
      <c r="O12" s="19"/>
      <c r="P12" s="21" t="s">
        <v>28</v>
      </c>
      <c r="Q12" s="3"/>
      <c r="R12" s="3"/>
      <c r="S12" s="16"/>
      <c r="T12" s="16"/>
      <c r="U12" s="16"/>
      <c r="V12" s="16"/>
      <c r="W12" s="16"/>
      <c r="X12" s="3"/>
      <c r="Y12" s="3"/>
      <c r="Z12" s="19"/>
    </row>
    <row r="13" spans="1:26" s="2" customFormat="1" hidden="1" x14ac:dyDescent="0.25">
      <c r="A13" s="33"/>
      <c r="B13" s="3"/>
      <c r="C13" s="3"/>
      <c r="D13" s="3"/>
      <c r="E13" s="3"/>
      <c r="F13" s="161" t="s">
        <v>21</v>
      </c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35"/>
      <c r="R13" s="1"/>
      <c r="S13" s="3"/>
      <c r="T13" s="3"/>
      <c r="U13" s="3"/>
      <c r="V13" s="3"/>
      <c r="W13" s="3"/>
      <c r="X13" s="3"/>
      <c r="Y13" s="3"/>
      <c r="Z13" s="19"/>
    </row>
    <row r="14" spans="1:26" s="2" customFormat="1" ht="41.25" hidden="1" customHeight="1" x14ac:dyDescent="0.25">
      <c r="A14" s="33"/>
      <c r="B14" s="3"/>
      <c r="C14" s="3"/>
      <c r="D14" s="1"/>
      <c r="E14" s="1"/>
      <c r="F14" s="36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1"/>
      <c r="R14" s="1"/>
      <c r="S14" s="3"/>
      <c r="T14" s="3"/>
      <c r="U14" s="3"/>
      <c r="V14" s="3"/>
      <c r="W14" s="3"/>
      <c r="X14" s="3"/>
      <c r="Y14" s="3"/>
      <c r="Z14" s="19"/>
    </row>
    <row r="15" spans="1:26" ht="23.25" hidden="1" customHeight="1" x14ac:dyDescent="0.25">
      <c r="A15" s="33"/>
      <c r="B15" s="3"/>
      <c r="C15" s="3"/>
      <c r="D15" s="1"/>
      <c r="E15" s="1"/>
      <c r="F15" s="36"/>
      <c r="G15" s="34" t="s">
        <v>22</v>
      </c>
      <c r="H15" s="34">
        <v>1</v>
      </c>
      <c r="I15" s="34">
        <v>1</v>
      </c>
      <c r="J15" s="34"/>
      <c r="K15" s="34"/>
      <c r="L15" s="34"/>
      <c r="M15" s="34"/>
      <c r="N15" s="34"/>
      <c r="O15" s="13"/>
      <c r="P15" s="34"/>
      <c r="Q15" s="1"/>
      <c r="R15" s="1"/>
      <c r="S15" s="3"/>
      <c r="T15" s="3"/>
      <c r="U15" s="3"/>
      <c r="V15" s="3"/>
      <c r="W15" s="3"/>
      <c r="X15" s="3"/>
      <c r="Y15" s="3"/>
      <c r="Z15" s="19"/>
    </row>
    <row r="16" spans="1:26" ht="21" hidden="1" customHeight="1" x14ac:dyDescent="0.25">
      <c r="A16" s="33"/>
      <c r="B16" s="3"/>
      <c r="C16" s="3"/>
      <c r="D16" s="1"/>
      <c r="E16" s="1"/>
      <c r="F16" s="36"/>
      <c r="G16" s="34" t="s">
        <v>23</v>
      </c>
      <c r="H16" s="34">
        <v>2</v>
      </c>
      <c r="I16" s="34">
        <v>2</v>
      </c>
      <c r="J16" s="34"/>
      <c r="K16" s="34"/>
      <c r="L16" s="34"/>
      <c r="M16" s="34"/>
      <c r="N16" s="34"/>
      <c r="O16" s="13"/>
      <c r="P16" s="34"/>
      <c r="Q16" s="1"/>
      <c r="R16" s="1"/>
      <c r="S16" s="3"/>
      <c r="T16" s="3"/>
      <c r="U16" s="3"/>
      <c r="V16" s="3"/>
      <c r="W16" s="3"/>
      <c r="X16" s="3"/>
      <c r="Y16" s="3"/>
      <c r="Z16" s="19"/>
    </row>
    <row r="17" spans="1:26" ht="21.75" hidden="1" customHeight="1" x14ac:dyDescent="0.25">
      <c r="A17" s="33"/>
      <c r="B17" s="3"/>
      <c r="C17" s="3"/>
      <c r="D17" s="1"/>
      <c r="E17" s="1"/>
      <c r="F17" s="36"/>
      <c r="G17" s="34" t="s">
        <v>24</v>
      </c>
      <c r="H17" s="34">
        <v>3</v>
      </c>
      <c r="I17" s="34">
        <v>3</v>
      </c>
      <c r="J17" s="34"/>
      <c r="K17" s="34"/>
      <c r="L17" s="34"/>
      <c r="M17" s="34"/>
      <c r="N17" s="34"/>
      <c r="O17" s="13"/>
      <c r="P17" s="34"/>
      <c r="Q17" s="1"/>
      <c r="R17" s="1"/>
      <c r="S17" s="3"/>
      <c r="T17" s="3"/>
      <c r="U17" s="3"/>
      <c r="V17" s="3"/>
      <c r="W17" s="3"/>
      <c r="X17" s="3"/>
      <c r="Y17" s="3"/>
      <c r="Z17" s="19"/>
    </row>
    <row r="18" spans="1:26" ht="24" hidden="1" customHeight="1" x14ac:dyDescent="0.25">
      <c r="A18" s="33"/>
      <c r="B18" s="3"/>
      <c r="C18" s="3"/>
      <c r="D18" s="1"/>
      <c r="E18" s="1"/>
      <c r="F18" s="36"/>
      <c r="G18" s="34"/>
      <c r="H18" s="34">
        <v>4</v>
      </c>
      <c r="I18" s="34">
        <v>4</v>
      </c>
      <c r="J18" s="34"/>
      <c r="K18" s="34"/>
      <c r="L18" s="34"/>
      <c r="M18" s="34"/>
      <c r="N18" s="34"/>
      <c r="O18" s="13"/>
      <c r="P18" s="34"/>
      <c r="Q18" s="1"/>
      <c r="R18" s="1"/>
      <c r="S18" s="3"/>
      <c r="T18" s="3"/>
      <c r="U18" s="3"/>
      <c r="V18" s="3"/>
      <c r="W18" s="3"/>
      <c r="X18" s="3"/>
      <c r="Y18" s="3"/>
      <c r="Z18" s="19"/>
    </row>
    <row r="19" spans="1:26" ht="18.75" hidden="1" customHeight="1" x14ac:dyDescent="0.25">
      <c r="A19" s="37"/>
      <c r="B19" s="38"/>
      <c r="C19" s="38"/>
      <c r="D19" s="39"/>
      <c r="E19" s="39"/>
      <c r="F19" s="2"/>
      <c r="G19" s="40"/>
      <c r="H19" s="38"/>
      <c r="I19" s="38"/>
      <c r="J19" s="38"/>
      <c r="K19" s="38"/>
      <c r="L19" s="38"/>
      <c r="M19" s="38"/>
      <c r="N19" s="38"/>
      <c r="O19" s="38"/>
      <c r="P19" s="40"/>
      <c r="Q19" s="40"/>
      <c r="R19" s="41"/>
      <c r="S19" s="38"/>
      <c r="T19" s="38"/>
      <c r="U19" s="38"/>
      <c r="V19" s="38"/>
      <c r="W19" s="38"/>
      <c r="X19" s="38"/>
      <c r="Y19" s="38"/>
      <c r="Z19" s="42"/>
    </row>
    <row r="20" spans="1:26" ht="17.25" customHeight="1" x14ac:dyDescent="0.25">
      <c r="A20" s="146" t="s">
        <v>20</v>
      </c>
      <c r="B20" s="147"/>
      <c r="C20" s="148"/>
      <c r="D20" s="146" t="s">
        <v>7</v>
      </c>
      <c r="E20" s="147"/>
      <c r="F20" s="147"/>
      <c r="G20" s="146" t="s">
        <v>8</v>
      </c>
      <c r="H20" s="158" t="s">
        <v>9</v>
      </c>
      <c r="I20" s="159"/>
      <c r="J20" s="159"/>
      <c r="K20" s="159"/>
      <c r="L20" s="159"/>
      <c r="M20" s="159"/>
      <c r="N20" s="159"/>
      <c r="O20" s="159"/>
      <c r="P20" s="146" t="s">
        <v>37</v>
      </c>
      <c r="Q20" s="147"/>
      <c r="R20" s="148"/>
      <c r="S20" s="158" t="s">
        <v>13</v>
      </c>
      <c r="T20" s="159"/>
      <c r="U20" s="159"/>
      <c r="V20" s="159"/>
      <c r="W20" s="159"/>
      <c r="X20" s="159"/>
      <c r="Y20" s="159"/>
      <c r="Z20" s="160"/>
    </row>
    <row r="21" spans="1:26" ht="22.95" customHeight="1" x14ac:dyDescent="0.25">
      <c r="A21" s="149"/>
      <c r="B21" s="105"/>
      <c r="C21" s="106"/>
      <c r="D21" s="149"/>
      <c r="E21" s="105"/>
      <c r="F21" s="105"/>
      <c r="G21" s="149"/>
      <c r="H21" s="10" t="s">
        <v>10</v>
      </c>
      <c r="I21" s="10" t="s">
        <v>11</v>
      </c>
      <c r="J21" s="152" t="s">
        <v>12</v>
      </c>
      <c r="K21" s="153"/>
      <c r="L21" s="153"/>
      <c r="M21" s="153"/>
      <c r="N21" s="153"/>
      <c r="O21" s="154"/>
      <c r="P21" s="149"/>
      <c r="Q21" s="105"/>
      <c r="R21" s="106"/>
      <c r="S21" s="10" t="s">
        <v>10</v>
      </c>
      <c r="T21" s="10" t="s">
        <v>11</v>
      </c>
      <c r="U21" s="152" t="s">
        <v>12</v>
      </c>
      <c r="V21" s="153"/>
      <c r="W21" s="153"/>
      <c r="X21" s="153"/>
      <c r="Y21" s="153"/>
      <c r="Z21" s="154"/>
    </row>
    <row r="22" spans="1:26" ht="21" customHeight="1" x14ac:dyDescent="0.25">
      <c r="A22" s="121" t="s">
        <v>94</v>
      </c>
      <c r="B22" s="92"/>
      <c r="C22" s="108"/>
      <c r="D22" s="121" t="s">
        <v>70</v>
      </c>
      <c r="E22" s="92"/>
      <c r="F22" s="108"/>
      <c r="G22" s="99" t="s">
        <v>23</v>
      </c>
      <c r="H22" s="99">
        <v>1</v>
      </c>
      <c r="I22" s="99">
        <v>3</v>
      </c>
      <c r="J22" s="102" t="s">
        <v>18</v>
      </c>
      <c r="K22" s="23">
        <v>4</v>
      </c>
      <c r="L22" s="53" t="str">
        <f>IF(AND(H22=1, I22=4),"X","")</f>
        <v/>
      </c>
      <c r="M22" s="26" t="str">
        <f>IF(AND(H22=2, I22=4),"X","")</f>
        <v/>
      </c>
      <c r="N22" s="26" t="str">
        <f>IF(AND(H22=3,I22=4)=TRUE,"X","")</f>
        <v/>
      </c>
      <c r="O22" s="26" t="str">
        <f>IF(AND(H22=4,I22=4)=TRUE,"X","")</f>
        <v/>
      </c>
      <c r="P22" s="128" t="s">
        <v>96</v>
      </c>
      <c r="Q22" s="129"/>
      <c r="R22" s="130"/>
      <c r="S22" s="99">
        <v>1</v>
      </c>
      <c r="T22" s="99">
        <v>3</v>
      </c>
      <c r="U22" s="102" t="s">
        <v>18</v>
      </c>
      <c r="V22" s="23">
        <v>4</v>
      </c>
      <c r="W22" s="53" t="str">
        <f>IF(AND(S22=1, T22=4),"X","")</f>
        <v/>
      </c>
      <c r="X22" s="26" t="str">
        <f>IF(AND(S22=2, T22=4),"X","")</f>
        <v/>
      </c>
      <c r="Y22" s="26" t="str">
        <f>IF(AND(S22=3,T22=4)=TRUE,"X","")</f>
        <v/>
      </c>
      <c r="Z22" s="26" t="str">
        <f>IF(AND(S22=4,T22=4)=TRUE,"X","")</f>
        <v/>
      </c>
    </row>
    <row r="23" spans="1:26" ht="21" customHeight="1" x14ac:dyDescent="0.25">
      <c r="A23" s="109"/>
      <c r="B23" s="110"/>
      <c r="C23" s="111"/>
      <c r="D23" s="109"/>
      <c r="E23" s="110"/>
      <c r="F23" s="111"/>
      <c r="G23" s="100"/>
      <c r="H23" s="100"/>
      <c r="I23" s="100"/>
      <c r="J23" s="103"/>
      <c r="K23" s="23">
        <v>3</v>
      </c>
      <c r="L23" s="54" t="str">
        <f>IF(AND(H22=1,I22=3)=TRUE,"X","")</f>
        <v>X</v>
      </c>
      <c r="M23" s="54" t="str">
        <f>IF(AND(H22=2,I22=3)=TRUE,"X","")</f>
        <v/>
      </c>
      <c r="N23" s="26" t="str">
        <f>IF(AND(H22=3,I22=3)=TRUE,"X","")</f>
        <v/>
      </c>
      <c r="O23" s="26" t="str">
        <f>IF(AND(H22=4,I22=3)=TRUE,"X","")</f>
        <v/>
      </c>
      <c r="P23" s="131"/>
      <c r="Q23" s="131"/>
      <c r="R23" s="132"/>
      <c r="S23" s="100"/>
      <c r="T23" s="100"/>
      <c r="U23" s="103"/>
      <c r="V23" s="23">
        <v>3</v>
      </c>
      <c r="W23" s="54" t="str">
        <f>IF(AND(S22=1,T22=3)=TRUE,"X","")</f>
        <v>X</v>
      </c>
      <c r="X23" s="54" t="str">
        <f>IF(AND(S22=2,T22=3)=TRUE,"X","")</f>
        <v/>
      </c>
      <c r="Y23" s="26" t="str">
        <f>IF(AND(S22=3,T22=3)=TRUE,"X","")</f>
        <v/>
      </c>
      <c r="Z23" s="26" t="str">
        <f>IF(AND(S22=4,T22=3)=TRUE,"X","")</f>
        <v/>
      </c>
    </row>
    <row r="24" spans="1:26" ht="21" customHeight="1" x14ac:dyDescent="0.25">
      <c r="A24" s="109"/>
      <c r="B24" s="110"/>
      <c r="C24" s="111"/>
      <c r="D24" s="109"/>
      <c r="E24" s="110"/>
      <c r="F24" s="111"/>
      <c r="G24" s="99"/>
      <c r="H24" s="100"/>
      <c r="I24" s="100"/>
      <c r="J24" s="103"/>
      <c r="K24" s="23">
        <v>2</v>
      </c>
      <c r="L24" s="25" t="str">
        <f>IF(AND(H22=1,I22=2)=TRUE,"X","")</f>
        <v/>
      </c>
      <c r="M24" s="25" t="str">
        <f>IF(AND(H22=2,I22=2)=TRUE,"X","")</f>
        <v/>
      </c>
      <c r="N24" s="54" t="str">
        <f>IF(AND(H22=3,I22=2)=TRUE,"X","")</f>
        <v/>
      </c>
      <c r="O24" s="54" t="str">
        <f>IF(AND(H22=4,I22=2)=TRUE,"X","")</f>
        <v/>
      </c>
      <c r="P24" s="131"/>
      <c r="Q24" s="131"/>
      <c r="R24" s="132"/>
      <c r="S24" s="100"/>
      <c r="T24" s="100"/>
      <c r="U24" s="103"/>
      <c r="V24" s="23">
        <v>2</v>
      </c>
      <c r="W24" s="25" t="str">
        <f>IF(AND(S22=1,T22=2)=TRUE,"X","")</f>
        <v/>
      </c>
      <c r="X24" s="25" t="str">
        <f>IF(AND(S22=2,T22=2)=TRUE,"X","")</f>
        <v/>
      </c>
      <c r="Y24" s="54" t="str">
        <f>IF(AND(S22=3,T22=2)=TRUE,"X","")</f>
        <v/>
      </c>
      <c r="Z24" s="54" t="str">
        <f>IF(AND(S22=4,T22=2)=TRUE,"X","")</f>
        <v/>
      </c>
    </row>
    <row r="25" spans="1:26" ht="21" customHeight="1" x14ac:dyDescent="0.25">
      <c r="A25" s="109"/>
      <c r="B25" s="110"/>
      <c r="C25" s="111"/>
      <c r="D25" s="109"/>
      <c r="E25" s="110"/>
      <c r="F25" s="111"/>
      <c r="G25" s="100"/>
      <c r="H25" s="100"/>
      <c r="I25" s="100"/>
      <c r="J25" s="103"/>
      <c r="K25" s="23">
        <v>1</v>
      </c>
      <c r="L25" s="24" t="str">
        <f>IF(AND(H22=1,I22=1)=TRUE,"X","")</f>
        <v/>
      </c>
      <c r="M25" s="24" t="str">
        <f>IF(AND(H22=2,I22=1)=TRUE,"X","")</f>
        <v/>
      </c>
      <c r="N25" s="25" t="str">
        <f>IF(AND(H22=3,I22=1)=TRUE,"X","")</f>
        <v/>
      </c>
      <c r="O25" s="25" t="str">
        <f>IF(AND(H22=4,I22=1)=TRUE,"X","")</f>
        <v/>
      </c>
      <c r="P25" s="131"/>
      <c r="Q25" s="131"/>
      <c r="R25" s="132"/>
      <c r="S25" s="100"/>
      <c r="T25" s="100"/>
      <c r="U25" s="103"/>
      <c r="V25" s="23">
        <v>1</v>
      </c>
      <c r="W25" s="24" t="str">
        <f>IF(AND(S22=1,T22=1)=TRUE,"X","")</f>
        <v/>
      </c>
      <c r="X25" s="24" t="str">
        <f>IF(AND(S22=2,T22=1)=TRUE,"X","")</f>
        <v/>
      </c>
      <c r="Y25" s="25" t="str">
        <f>IF(AND(S22=3,T22=1)=TRUE,"X","")</f>
        <v/>
      </c>
      <c r="Z25" s="25" t="str">
        <f>IF(AND(S22=4,T22=1)=TRUE,"X","")</f>
        <v/>
      </c>
    </row>
    <row r="26" spans="1:26" ht="21" customHeight="1" x14ac:dyDescent="0.25">
      <c r="A26" s="109"/>
      <c r="B26" s="110"/>
      <c r="C26" s="111"/>
      <c r="D26" s="109"/>
      <c r="E26" s="110"/>
      <c r="F26" s="111"/>
      <c r="G26" s="99"/>
      <c r="H26" s="100"/>
      <c r="I26" s="100"/>
      <c r="J26" s="15"/>
      <c r="K26" s="27"/>
      <c r="L26" s="23">
        <v>1</v>
      </c>
      <c r="M26" s="23">
        <v>2</v>
      </c>
      <c r="N26" s="23">
        <v>3</v>
      </c>
      <c r="O26" s="13">
        <v>4</v>
      </c>
      <c r="P26" s="131"/>
      <c r="Q26" s="131"/>
      <c r="R26" s="132"/>
      <c r="S26" s="100"/>
      <c r="T26" s="100"/>
      <c r="U26" s="15"/>
      <c r="V26" s="27"/>
      <c r="W26" s="23">
        <v>1</v>
      </c>
      <c r="X26" s="23">
        <v>2</v>
      </c>
      <c r="Y26" s="23">
        <v>3</v>
      </c>
      <c r="Z26" s="13">
        <v>4</v>
      </c>
    </row>
    <row r="27" spans="1:26" ht="21" customHeight="1" x14ac:dyDescent="0.25">
      <c r="A27" s="109"/>
      <c r="B27" s="110"/>
      <c r="C27" s="111"/>
      <c r="D27" s="109"/>
      <c r="E27" s="110"/>
      <c r="F27" s="111"/>
      <c r="G27" s="100"/>
      <c r="H27" s="100"/>
      <c r="I27" s="100"/>
      <c r="J27" s="22"/>
      <c r="K27" s="14"/>
      <c r="L27" s="115" t="s">
        <v>19</v>
      </c>
      <c r="M27" s="116"/>
      <c r="N27" s="116"/>
      <c r="O27" s="117"/>
      <c r="P27" s="131"/>
      <c r="Q27" s="131"/>
      <c r="R27" s="132"/>
      <c r="S27" s="100"/>
      <c r="T27" s="100"/>
      <c r="U27" s="22"/>
      <c r="V27" s="14"/>
      <c r="W27" s="115" t="s">
        <v>19</v>
      </c>
      <c r="X27" s="116"/>
      <c r="Y27" s="116"/>
      <c r="Z27" s="117"/>
    </row>
    <row r="28" spans="1:26" ht="6.75" customHeight="1" x14ac:dyDescent="0.25">
      <c r="A28" s="118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20"/>
    </row>
    <row r="29" spans="1:26" ht="21" customHeight="1" x14ac:dyDescent="0.25">
      <c r="A29" s="121" t="s">
        <v>94</v>
      </c>
      <c r="B29" s="92"/>
      <c r="C29" s="108"/>
      <c r="D29" s="121" t="s">
        <v>95</v>
      </c>
      <c r="E29" s="92"/>
      <c r="F29" s="108"/>
      <c r="G29" s="99" t="s">
        <v>23</v>
      </c>
      <c r="H29" s="99">
        <v>1</v>
      </c>
      <c r="I29" s="99">
        <v>3</v>
      </c>
      <c r="J29" s="102" t="s">
        <v>18</v>
      </c>
      <c r="K29" s="23">
        <v>4</v>
      </c>
      <c r="L29" s="53" t="str">
        <f>IF(AND(H29=1, I29=4),"X","")</f>
        <v/>
      </c>
      <c r="M29" s="26" t="str">
        <f>IF(AND(H29=2, I29=4),"X","")</f>
        <v/>
      </c>
      <c r="N29" s="26" t="str">
        <f>IF(AND(H29=3,I29=4)=TRUE,"X","")</f>
        <v/>
      </c>
      <c r="O29" s="26" t="str">
        <f>IF(AND(H29=4,I29=4)=TRUE,"X","")</f>
        <v/>
      </c>
      <c r="P29" s="128" t="s">
        <v>100</v>
      </c>
      <c r="Q29" s="129"/>
      <c r="R29" s="130"/>
      <c r="S29" s="99">
        <v>1</v>
      </c>
      <c r="T29" s="99">
        <v>3</v>
      </c>
      <c r="U29" s="102" t="s">
        <v>18</v>
      </c>
      <c r="V29" s="23">
        <v>4</v>
      </c>
      <c r="W29" s="53" t="str">
        <f>IF(AND(S29=1, T29=4),"X","")</f>
        <v/>
      </c>
      <c r="X29" s="26" t="str">
        <f>IF(AND(S29=2, T29=4),"X","")</f>
        <v/>
      </c>
      <c r="Y29" s="26" t="str">
        <f>IF(AND(S29=3,T29=4)=TRUE,"X","")</f>
        <v/>
      </c>
      <c r="Z29" s="26" t="str">
        <f>IF(AND(S29=4,T29=4)=TRUE,"X","")</f>
        <v/>
      </c>
    </row>
    <row r="30" spans="1:26" ht="21" customHeight="1" x14ac:dyDescent="0.25">
      <c r="A30" s="109"/>
      <c r="B30" s="110"/>
      <c r="C30" s="111"/>
      <c r="D30" s="109"/>
      <c r="E30" s="110"/>
      <c r="F30" s="111"/>
      <c r="G30" s="100"/>
      <c r="H30" s="100"/>
      <c r="I30" s="100"/>
      <c r="J30" s="103"/>
      <c r="K30" s="23">
        <v>3</v>
      </c>
      <c r="L30" s="54" t="str">
        <f>IF(AND(H29=1,I29=3)=TRUE,"X","")</f>
        <v>X</v>
      </c>
      <c r="M30" s="54" t="str">
        <f>IF(AND(H29=2,I29=3)=TRUE,"X","")</f>
        <v/>
      </c>
      <c r="N30" s="26" t="str">
        <f>IF(AND(H29=3,I29=3)=TRUE,"X","")</f>
        <v/>
      </c>
      <c r="O30" s="26" t="str">
        <f>IF(AND(H29=4,I29=3)=TRUE,"X","")</f>
        <v/>
      </c>
      <c r="P30" s="131"/>
      <c r="Q30" s="131"/>
      <c r="R30" s="132"/>
      <c r="S30" s="100"/>
      <c r="T30" s="100"/>
      <c r="U30" s="103"/>
      <c r="V30" s="23">
        <v>3</v>
      </c>
      <c r="W30" s="54" t="str">
        <f>IF(AND(S29=1,T29=3)=TRUE,"X","")</f>
        <v>X</v>
      </c>
      <c r="X30" s="54" t="str">
        <f>IF(AND(S29=2,T29=3)=TRUE,"X","")</f>
        <v/>
      </c>
      <c r="Y30" s="26" t="str">
        <f>IF(AND(S29=3,T29=3)=TRUE,"X","")</f>
        <v/>
      </c>
      <c r="Z30" s="26" t="str">
        <f>IF(AND(S29=4,T29=3)=TRUE,"X","")</f>
        <v/>
      </c>
    </row>
    <row r="31" spans="1:26" ht="21" customHeight="1" x14ac:dyDescent="0.25">
      <c r="A31" s="109"/>
      <c r="B31" s="110"/>
      <c r="C31" s="111"/>
      <c r="D31" s="109"/>
      <c r="E31" s="110"/>
      <c r="F31" s="111"/>
      <c r="G31" s="99"/>
      <c r="H31" s="100"/>
      <c r="I31" s="100"/>
      <c r="J31" s="103"/>
      <c r="K31" s="23">
        <v>2</v>
      </c>
      <c r="L31" s="25" t="str">
        <f>IF(AND(H29=1,I29=2)=TRUE,"X","")</f>
        <v/>
      </c>
      <c r="M31" s="25" t="str">
        <f>IF(AND(H29=2,I29=2)=TRUE,"X","")</f>
        <v/>
      </c>
      <c r="N31" s="54" t="str">
        <f>IF(AND(H29=3,I29=2)=TRUE,"X","")</f>
        <v/>
      </c>
      <c r="O31" s="54" t="str">
        <f>IF(AND(H29=4,I29=2)=TRUE,"X","")</f>
        <v/>
      </c>
      <c r="P31" s="131"/>
      <c r="Q31" s="131"/>
      <c r="R31" s="132"/>
      <c r="S31" s="100"/>
      <c r="T31" s="100"/>
      <c r="U31" s="103"/>
      <c r="V31" s="23">
        <v>2</v>
      </c>
      <c r="W31" s="25" t="str">
        <f>IF(AND(S29=1,T29=2)=TRUE,"X","")</f>
        <v/>
      </c>
      <c r="X31" s="25" t="str">
        <f>IF(AND(S29=2,T29=2)=TRUE,"X","")</f>
        <v/>
      </c>
      <c r="Y31" s="54" t="str">
        <f>IF(AND(S29=3,T29=2)=TRUE,"X","")</f>
        <v/>
      </c>
      <c r="Z31" s="54" t="str">
        <f>IF(AND(S29=4,T29=2)=TRUE,"X","")</f>
        <v/>
      </c>
    </row>
    <row r="32" spans="1:26" ht="21" customHeight="1" x14ac:dyDescent="0.25">
      <c r="A32" s="109"/>
      <c r="B32" s="110"/>
      <c r="C32" s="111"/>
      <c r="D32" s="109"/>
      <c r="E32" s="110"/>
      <c r="F32" s="111"/>
      <c r="G32" s="100"/>
      <c r="H32" s="100"/>
      <c r="I32" s="100"/>
      <c r="J32" s="103"/>
      <c r="K32" s="23">
        <v>1</v>
      </c>
      <c r="L32" s="24" t="str">
        <f>IF(AND(H29=1,I29=1)=TRUE,"X","")</f>
        <v/>
      </c>
      <c r="M32" s="24" t="str">
        <f>IF(AND(H29=2,I29=1)=TRUE,"X","")</f>
        <v/>
      </c>
      <c r="N32" s="25" t="str">
        <f>IF(AND(H29=3,I29=1)=TRUE,"X","")</f>
        <v/>
      </c>
      <c r="O32" s="25" t="str">
        <f>IF(AND(H29=4,I29=1)=TRUE,"X","")</f>
        <v/>
      </c>
      <c r="P32" s="131"/>
      <c r="Q32" s="131"/>
      <c r="R32" s="132"/>
      <c r="S32" s="100"/>
      <c r="T32" s="100"/>
      <c r="U32" s="103"/>
      <c r="V32" s="23">
        <v>1</v>
      </c>
      <c r="W32" s="24" t="str">
        <f>IF(AND(S29=1,T29=1)=TRUE,"X","")</f>
        <v/>
      </c>
      <c r="X32" s="24" t="str">
        <f>IF(AND(S29=2,T29=1)=TRUE,"X","")</f>
        <v/>
      </c>
      <c r="Y32" s="25" t="str">
        <f>IF(AND(S29=3,T29=1)=TRUE,"X","")</f>
        <v/>
      </c>
      <c r="Z32" s="25" t="str">
        <f>IF(AND(S29=4,T29=1)=TRUE,"X","")</f>
        <v/>
      </c>
    </row>
    <row r="33" spans="1:26" ht="21" customHeight="1" x14ac:dyDescent="0.25">
      <c r="A33" s="109"/>
      <c r="B33" s="110"/>
      <c r="C33" s="111"/>
      <c r="D33" s="109"/>
      <c r="E33" s="110"/>
      <c r="F33" s="111"/>
      <c r="G33" s="99"/>
      <c r="H33" s="100"/>
      <c r="I33" s="100"/>
      <c r="J33" s="15"/>
      <c r="K33" s="27"/>
      <c r="L33" s="23">
        <v>1</v>
      </c>
      <c r="M33" s="23">
        <v>2</v>
      </c>
      <c r="N33" s="23">
        <v>3</v>
      </c>
      <c r="O33" s="13">
        <v>4</v>
      </c>
      <c r="P33" s="131"/>
      <c r="Q33" s="131"/>
      <c r="R33" s="132"/>
      <c r="S33" s="100"/>
      <c r="T33" s="100"/>
      <c r="U33" s="15"/>
      <c r="V33" s="27"/>
      <c r="W33" s="23">
        <v>1</v>
      </c>
      <c r="X33" s="23">
        <v>2</v>
      </c>
      <c r="Y33" s="23">
        <v>3</v>
      </c>
      <c r="Z33" s="13">
        <v>4</v>
      </c>
    </row>
    <row r="34" spans="1:26" ht="21" customHeight="1" x14ac:dyDescent="0.25">
      <c r="A34" s="109"/>
      <c r="B34" s="110"/>
      <c r="C34" s="111"/>
      <c r="D34" s="109"/>
      <c r="E34" s="110"/>
      <c r="F34" s="111"/>
      <c r="G34" s="100"/>
      <c r="H34" s="100"/>
      <c r="I34" s="100"/>
      <c r="J34" s="22"/>
      <c r="K34" s="14"/>
      <c r="L34" s="115" t="s">
        <v>19</v>
      </c>
      <c r="M34" s="116"/>
      <c r="N34" s="116"/>
      <c r="O34" s="117"/>
      <c r="P34" s="131"/>
      <c r="Q34" s="131"/>
      <c r="R34" s="132"/>
      <c r="S34" s="100"/>
      <c r="T34" s="100"/>
      <c r="U34" s="22"/>
      <c r="V34" s="14"/>
      <c r="W34" s="115" t="s">
        <v>19</v>
      </c>
      <c r="X34" s="116"/>
      <c r="Y34" s="116"/>
      <c r="Z34" s="117"/>
    </row>
    <row r="35" spans="1:26" ht="6.75" customHeight="1" x14ac:dyDescent="0.25">
      <c r="A35" s="118"/>
      <c r="B35" s="119"/>
      <c r="C35" s="119"/>
      <c r="D35" s="119"/>
      <c r="E35" s="119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20"/>
    </row>
    <row r="36" spans="1:26" ht="21" customHeight="1" x14ac:dyDescent="0.25">
      <c r="A36" s="121" t="s">
        <v>94</v>
      </c>
      <c r="B36" s="92"/>
      <c r="C36" s="108"/>
      <c r="D36" s="121" t="s">
        <v>97</v>
      </c>
      <c r="E36" s="92"/>
      <c r="F36" s="108"/>
      <c r="G36" s="99" t="s">
        <v>23</v>
      </c>
      <c r="H36" s="99">
        <v>2</v>
      </c>
      <c r="I36" s="99">
        <v>2</v>
      </c>
      <c r="J36" s="102" t="s">
        <v>18</v>
      </c>
      <c r="K36" s="23">
        <v>4</v>
      </c>
      <c r="L36" s="53" t="str">
        <f>IF(AND(H36=1, I36=4),"X","")</f>
        <v/>
      </c>
      <c r="M36" s="26" t="str">
        <f>IF(AND(H36=2, I36=4),"X","")</f>
        <v/>
      </c>
      <c r="N36" s="26" t="str">
        <f>IF(AND(H36=3,I36=4)=TRUE,"X","")</f>
        <v/>
      </c>
      <c r="O36" s="26" t="str">
        <f>IF(AND(H36=4,I36=4)=TRUE,"X","")</f>
        <v/>
      </c>
      <c r="P36" s="128" t="s">
        <v>98</v>
      </c>
      <c r="Q36" s="129"/>
      <c r="R36" s="130"/>
      <c r="S36" s="99">
        <v>2</v>
      </c>
      <c r="T36" s="99">
        <v>1</v>
      </c>
      <c r="U36" s="102" t="s">
        <v>18</v>
      </c>
      <c r="V36" s="23">
        <v>4</v>
      </c>
      <c r="W36" s="53" t="str">
        <f>IF(AND(S36=1, T36=4),"X","")</f>
        <v/>
      </c>
      <c r="X36" s="26" t="str">
        <f>IF(AND(S36=2, T36=4),"X","")</f>
        <v/>
      </c>
      <c r="Y36" s="26" t="str">
        <f>IF(AND(S36=3,T36=4)=TRUE,"X","")</f>
        <v/>
      </c>
      <c r="Z36" s="26" t="str">
        <f>IF(AND(S36=4,T36=4)=TRUE,"X","")</f>
        <v/>
      </c>
    </row>
    <row r="37" spans="1:26" ht="21" customHeight="1" x14ac:dyDescent="0.25">
      <c r="A37" s="109"/>
      <c r="B37" s="110"/>
      <c r="C37" s="111"/>
      <c r="D37" s="109"/>
      <c r="E37" s="110"/>
      <c r="F37" s="111"/>
      <c r="G37" s="100"/>
      <c r="H37" s="100"/>
      <c r="I37" s="100"/>
      <c r="J37" s="103"/>
      <c r="K37" s="23">
        <v>3</v>
      </c>
      <c r="L37" s="54" t="str">
        <f>IF(AND(H36=1,I36=3)=TRUE,"X","")</f>
        <v/>
      </c>
      <c r="M37" s="54" t="str">
        <f>IF(AND(H36=2,I36=3)=TRUE,"X","")</f>
        <v/>
      </c>
      <c r="N37" s="26" t="str">
        <f>IF(AND(H36=3,I36=3)=TRUE,"X","")</f>
        <v/>
      </c>
      <c r="O37" s="26" t="str">
        <f>IF(AND(H36=4,I36=3)=TRUE,"X","")</f>
        <v/>
      </c>
      <c r="P37" s="131"/>
      <c r="Q37" s="131"/>
      <c r="R37" s="132"/>
      <c r="S37" s="100"/>
      <c r="T37" s="100"/>
      <c r="U37" s="103"/>
      <c r="V37" s="23">
        <v>3</v>
      </c>
      <c r="W37" s="54" t="str">
        <f>IF(AND(S36=1,T36=3)=TRUE,"X","")</f>
        <v/>
      </c>
      <c r="X37" s="54" t="str">
        <f>IF(AND(S36=2,T36=3)=TRUE,"X","")</f>
        <v/>
      </c>
      <c r="Y37" s="26" t="str">
        <f>IF(AND(S36=3,T36=3)=TRUE,"X","")</f>
        <v/>
      </c>
      <c r="Z37" s="26" t="str">
        <f>IF(AND(S36=4,T36=3)=TRUE,"X","")</f>
        <v/>
      </c>
    </row>
    <row r="38" spans="1:26" ht="21" customHeight="1" x14ac:dyDescent="0.25">
      <c r="A38" s="109"/>
      <c r="B38" s="110"/>
      <c r="C38" s="111"/>
      <c r="D38" s="109"/>
      <c r="E38" s="110"/>
      <c r="F38" s="111"/>
      <c r="G38" s="99"/>
      <c r="H38" s="100"/>
      <c r="I38" s="100"/>
      <c r="J38" s="103"/>
      <c r="K38" s="23">
        <v>2</v>
      </c>
      <c r="L38" s="25" t="str">
        <f>IF(AND(H36=1,I36=2)=TRUE,"X","")</f>
        <v/>
      </c>
      <c r="M38" s="25" t="str">
        <f>IF(AND(H36=2,I36=2)=TRUE,"X","")</f>
        <v>X</v>
      </c>
      <c r="N38" s="54" t="str">
        <f>IF(AND(H36=3,I36=2)=TRUE,"X","")</f>
        <v/>
      </c>
      <c r="O38" s="54" t="str">
        <f>IF(AND(H36=4,I36=2)=TRUE,"X","")</f>
        <v/>
      </c>
      <c r="P38" s="131"/>
      <c r="Q38" s="131"/>
      <c r="R38" s="132"/>
      <c r="S38" s="100"/>
      <c r="T38" s="100"/>
      <c r="U38" s="103"/>
      <c r="V38" s="23">
        <v>2</v>
      </c>
      <c r="W38" s="25" t="str">
        <f>IF(AND(S36=1,T36=2)=TRUE,"X","")</f>
        <v/>
      </c>
      <c r="X38" s="25" t="str">
        <f>IF(AND(S36=2,T36=2)=TRUE,"X","")</f>
        <v/>
      </c>
      <c r="Y38" s="54" t="str">
        <f>IF(AND(S36=3,T36=2)=TRUE,"X","")</f>
        <v/>
      </c>
      <c r="Z38" s="54" t="str">
        <f>IF(AND(S36=4,T36=2)=TRUE,"X","")</f>
        <v/>
      </c>
    </row>
    <row r="39" spans="1:26" ht="21" customHeight="1" x14ac:dyDescent="0.25">
      <c r="A39" s="109"/>
      <c r="B39" s="110"/>
      <c r="C39" s="111"/>
      <c r="D39" s="109"/>
      <c r="E39" s="110"/>
      <c r="F39" s="111"/>
      <c r="G39" s="100"/>
      <c r="H39" s="100"/>
      <c r="I39" s="100"/>
      <c r="J39" s="103"/>
      <c r="K39" s="23">
        <v>1</v>
      </c>
      <c r="L39" s="24" t="str">
        <f>IF(AND(H36=1,I36=1)=TRUE,"X","")</f>
        <v/>
      </c>
      <c r="M39" s="24" t="str">
        <f>IF(AND(H36=2,I36=1)=TRUE,"X","")</f>
        <v/>
      </c>
      <c r="N39" s="25" t="str">
        <f>IF(AND(H36=3,I36=1)=TRUE,"X","")</f>
        <v/>
      </c>
      <c r="O39" s="25" t="str">
        <f>IF(AND(H36=4,I36=1)=TRUE,"X","")</f>
        <v/>
      </c>
      <c r="P39" s="131"/>
      <c r="Q39" s="131"/>
      <c r="R39" s="132"/>
      <c r="S39" s="100"/>
      <c r="T39" s="100"/>
      <c r="U39" s="103"/>
      <c r="V39" s="23">
        <v>1</v>
      </c>
      <c r="W39" s="24" t="str">
        <f>IF(AND(S36=1,T36=1)=TRUE,"X","")</f>
        <v/>
      </c>
      <c r="X39" s="24" t="str">
        <f>IF(AND(S36=2,T36=1)=TRUE,"X","")</f>
        <v>X</v>
      </c>
      <c r="Y39" s="25" t="str">
        <f>IF(AND(S36=3,T36=1)=TRUE,"X","")</f>
        <v/>
      </c>
      <c r="Z39" s="25" t="str">
        <f>IF(AND(S36=4,T36=1)=TRUE,"X","")</f>
        <v/>
      </c>
    </row>
    <row r="40" spans="1:26" ht="21" customHeight="1" x14ac:dyDescent="0.25">
      <c r="A40" s="109"/>
      <c r="B40" s="110"/>
      <c r="C40" s="111"/>
      <c r="D40" s="109"/>
      <c r="E40" s="110"/>
      <c r="F40" s="111"/>
      <c r="G40" s="99"/>
      <c r="H40" s="100"/>
      <c r="I40" s="100"/>
      <c r="J40" s="15"/>
      <c r="K40" s="27"/>
      <c r="L40" s="23">
        <v>1</v>
      </c>
      <c r="M40" s="23">
        <v>2</v>
      </c>
      <c r="N40" s="23">
        <v>3</v>
      </c>
      <c r="O40" s="13">
        <v>4</v>
      </c>
      <c r="P40" s="131"/>
      <c r="Q40" s="131"/>
      <c r="R40" s="132"/>
      <c r="S40" s="100"/>
      <c r="T40" s="100"/>
      <c r="U40" s="15"/>
      <c r="V40" s="27"/>
      <c r="W40" s="23">
        <v>1</v>
      </c>
      <c r="X40" s="23">
        <v>2</v>
      </c>
      <c r="Y40" s="23">
        <v>3</v>
      </c>
      <c r="Z40" s="13">
        <v>4</v>
      </c>
    </row>
    <row r="41" spans="1:26" ht="21" customHeight="1" x14ac:dyDescent="0.25">
      <c r="A41" s="109"/>
      <c r="B41" s="110"/>
      <c r="C41" s="111"/>
      <c r="D41" s="109"/>
      <c r="E41" s="110"/>
      <c r="F41" s="111"/>
      <c r="G41" s="100"/>
      <c r="H41" s="100"/>
      <c r="I41" s="100"/>
      <c r="J41" s="22"/>
      <c r="K41" s="14"/>
      <c r="L41" s="115" t="s">
        <v>19</v>
      </c>
      <c r="M41" s="116"/>
      <c r="N41" s="116"/>
      <c r="O41" s="117"/>
      <c r="P41" s="131"/>
      <c r="Q41" s="131"/>
      <c r="R41" s="132"/>
      <c r="S41" s="100"/>
      <c r="T41" s="100"/>
      <c r="U41" s="22"/>
      <c r="V41" s="14"/>
      <c r="W41" s="115" t="s">
        <v>19</v>
      </c>
      <c r="X41" s="116"/>
      <c r="Y41" s="116"/>
      <c r="Z41" s="117"/>
    </row>
    <row r="42" spans="1:26" ht="6.75" customHeight="1" x14ac:dyDescent="0.25">
      <c r="A42" s="118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20"/>
    </row>
    <row r="43" spans="1:26" ht="21" customHeight="1" x14ac:dyDescent="0.25">
      <c r="A43" s="121" t="s">
        <v>94</v>
      </c>
      <c r="B43" s="122"/>
      <c r="C43" s="133"/>
      <c r="D43" s="121" t="s">
        <v>99</v>
      </c>
      <c r="E43" s="122"/>
      <c r="F43" s="133"/>
      <c r="G43" s="127" t="s">
        <v>23</v>
      </c>
      <c r="H43" s="99">
        <v>2</v>
      </c>
      <c r="I43" s="99">
        <v>3</v>
      </c>
      <c r="J43" s="102" t="s">
        <v>18</v>
      </c>
      <c r="K43" s="23">
        <v>4</v>
      </c>
      <c r="L43" s="53" t="str">
        <f>IF(AND(H43=1, I43=4),"X","")</f>
        <v/>
      </c>
      <c r="M43" s="26" t="str">
        <f>IF(AND(H43=2, I43=4),"X","")</f>
        <v/>
      </c>
      <c r="N43" s="26" t="str">
        <f>IF(AND(H43=3,I43=4)=TRUE,"X","")</f>
        <v/>
      </c>
      <c r="O43" s="26" t="str">
        <f>IF(AND(H43=4,I43=4)=TRUE,"X","")</f>
        <v/>
      </c>
      <c r="P43" s="128" t="s">
        <v>101</v>
      </c>
      <c r="Q43" s="129"/>
      <c r="R43" s="130"/>
      <c r="S43" s="99">
        <v>1</v>
      </c>
      <c r="T43" s="99">
        <v>2</v>
      </c>
      <c r="U43" s="102" t="s">
        <v>18</v>
      </c>
      <c r="V43" s="23">
        <v>4</v>
      </c>
      <c r="W43" s="53" t="str">
        <f>IF(AND(S43=1, T43=4),"X","")</f>
        <v/>
      </c>
      <c r="X43" s="26" t="str">
        <f>IF(AND(S43=2, T43=4),"X","")</f>
        <v/>
      </c>
      <c r="Y43" s="26" t="str">
        <f>IF(AND(S43=3,T43=4)=TRUE,"X","")</f>
        <v/>
      </c>
      <c r="Z43" s="26" t="str">
        <f>IF(AND(S43=4,T43=4)=TRUE,"X","")</f>
        <v/>
      </c>
    </row>
    <row r="44" spans="1:26" ht="21" customHeight="1" x14ac:dyDescent="0.25">
      <c r="A44" s="134"/>
      <c r="B44" s="135"/>
      <c r="C44" s="136"/>
      <c r="D44" s="134"/>
      <c r="E44" s="135"/>
      <c r="F44" s="136"/>
      <c r="G44" s="127"/>
      <c r="H44" s="100"/>
      <c r="I44" s="100"/>
      <c r="J44" s="103"/>
      <c r="K44" s="23">
        <v>3</v>
      </c>
      <c r="L44" s="54" t="str">
        <f>IF(AND(H43=1,I43=3)=TRUE,"X","")</f>
        <v/>
      </c>
      <c r="M44" s="54" t="str">
        <f>IF(AND(H43=2,I43=3)=TRUE,"X","")</f>
        <v>X</v>
      </c>
      <c r="N44" s="26" t="str">
        <f>IF(AND(H43=3,I43=3)=TRUE,"X","")</f>
        <v/>
      </c>
      <c r="O44" s="26" t="str">
        <f>IF(AND(H43=4,I43=3)=TRUE,"X","")</f>
        <v/>
      </c>
      <c r="P44" s="131"/>
      <c r="Q44" s="131"/>
      <c r="R44" s="132"/>
      <c r="S44" s="100"/>
      <c r="T44" s="100"/>
      <c r="U44" s="103"/>
      <c r="V44" s="23">
        <v>3</v>
      </c>
      <c r="W44" s="54" t="str">
        <f>IF(AND(S43=1,T43=3)=TRUE,"X","")</f>
        <v/>
      </c>
      <c r="X44" s="54" t="str">
        <f>IF(AND(S43=2,T43=3)=TRUE,"X","")</f>
        <v/>
      </c>
      <c r="Y44" s="26" t="str">
        <f>IF(AND(S43=3,T43=3)=TRUE,"X","")</f>
        <v/>
      </c>
      <c r="Z44" s="26" t="str">
        <f>IF(AND(S43=4,T43=3)=TRUE,"X","")</f>
        <v/>
      </c>
    </row>
    <row r="45" spans="1:26" ht="21" customHeight="1" x14ac:dyDescent="0.25">
      <c r="A45" s="134"/>
      <c r="B45" s="135"/>
      <c r="C45" s="136"/>
      <c r="D45" s="134"/>
      <c r="E45" s="135"/>
      <c r="F45" s="136"/>
      <c r="G45" s="127"/>
      <c r="H45" s="100"/>
      <c r="I45" s="100"/>
      <c r="J45" s="103"/>
      <c r="K45" s="23">
        <v>2</v>
      </c>
      <c r="L45" s="25" t="str">
        <f>IF(AND(H43=1,I43=2)=TRUE,"X","")</f>
        <v/>
      </c>
      <c r="M45" s="25" t="str">
        <f>IF(AND(H43=2,I43=2)=TRUE,"X","")</f>
        <v/>
      </c>
      <c r="N45" s="54" t="str">
        <f>IF(AND(H43=3,I43=2)=TRUE,"X","")</f>
        <v/>
      </c>
      <c r="O45" s="54" t="str">
        <f>IF(AND(H43=4,I43=2)=TRUE,"X","")</f>
        <v/>
      </c>
      <c r="P45" s="131"/>
      <c r="Q45" s="131"/>
      <c r="R45" s="132"/>
      <c r="S45" s="100"/>
      <c r="T45" s="100"/>
      <c r="U45" s="103"/>
      <c r="V45" s="23">
        <v>2</v>
      </c>
      <c r="W45" s="25" t="str">
        <f>IF(AND(S43=1,T43=2)=TRUE,"X","")</f>
        <v>X</v>
      </c>
      <c r="X45" s="25" t="str">
        <f>IF(AND(S43=2,T43=2)=TRUE,"X","")</f>
        <v/>
      </c>
      <c r="Y45" s="54" t="str">
        <f>IF(AND(S43=3,T43=2)=TRUE,"X","")</f>
        <v/>
      </c>
      <c r="Z45" s="54" t="str">
        <f>IF(AND(S43=4,T43=2)=TRUE,"X","")</f>
        <v/>
      </c>
    </row>
    <row r="46" spans="1:26" ht="21" customHeight="1" x14ac:dyDescent="0.25">
      <c r="A46" s="134"/>
      <c r="B46" s="135"/>
      <c r="C46" s="136"/>
      <c r="D46" s="134"/>
      <c r="E46" s="135"/>
      <c r="F46" s="136"/>
      <c r="G46" s="127"/>
      <c r="H46" s="100"/>
      <c r="I46" s="100"/>
      <c r="J46" s="103"/>
      <c r="K46" s="23">
        <v>1</v>
      </c>
      <c r="L46" s="24" t="str">
        <f>IF(AND(H43=1,I43=1)=TRUE,"X","")</f>
        <v/>
      </c>
      <c r="M46" s="24" t="str">
        <f>IF(AND(H43=2,I43=1)=TRUE,"X","")</f>
        <v/>
      </c>
      <c r="N46" s="25" t="str">
        <f>IF(AND(H43=3,I43=1)=TRUE,"X","")</f>
        <v/>
      </c>
      <c r="O46" s="25" t="str">
        <f>IF(AND(H43=4,I43=1)=TRUE,"X","")</f>
        <v/>
      </c>
      <c r="P46" s="131"/>
      <c r="Q46" s="131"/>
      <c r="R46" s="132"/>
      <c r="S46" s="100"/>
      <c r="T46" s="100"/>
      <c r="U46" s="103"/>
      <c r="V46" s="23">
        <v>1</v>
      </c>
      <c r="W46" s="24" t="str">
        <f>IF(AND(S43=1,T43=1)=TRUE,"X","")</f>
        <v/>
      </c>
      <c r="X46" s="24" t="str">
        <f>IF(AND(S43=2,T43=1)=TRUE,"X","")</f>
        <v/>
      </c>
      <c r="Y46" s="25" t="str">
        <f>IF(AND(S43=3,T43=1)=TRUE,"X","")</f>
        <v/>
      </c>
      <c r="Z46" s="25" t="str">
        <f>IF(AND(S43=4,T43=1)=TRUE,"X","")</f>
        <v/>
      </c>
    </row>
    <row r="47" spans="1:26" ht="21" customHeight="1" x14ac:dyDescent="0.25">
      <c r="A47" s="134"/>
      <c r="B47" s="135"/>
      <c r="C47" s="136"/>
      <c r="D47" s="134"/>
      <c r="E47" s="135"/>
      <c r="F47" s="136"/>
      <c r="G47" s="127"/>
      <c r="H47" s="100"/>
      <c r="I47" s="100"/>
      <c r="J47" s="15"/>
      <c r="K47" s="27"/>
      <c r="L47" s="23">
        <v>1</v>
      </c>
      <c r="M47" s="23">
        <v>2</v>
      </c>
      <c r="N47" s="23">
        <v>3</v>
      </c>
      <c r="O47" s="13">
        <v>4</v>
      </c>
      <c r="P47" s="131"/>
      <c r="Q47" s="131"/>
      <c r="R47" s="132"/>
      <c r="S47" s="100"/>
      <c r="T47" s="100"/>
      <c r="U47" s="15"/>
      <c r="V47" s="27"/>
      <c r="W47" s="23">
        <v>1</v>
      </c>
      <c r="X47" s="23">
        <v>2</v>
      </c>
      <c r="Y47" s="23">
        <v>3</v>
      </c>
      <c r="Z47" s="13">
        <v>4</v>
      </c>
    </row>
    <row r="48" spans="1:26" ht="21" customHeight="1" x14ac:dyDescent="0.25">
      <c r="A48" s="137"/>
      <c r="B48" s="138"/>
      <c r="C48" s="139"/>
      <c r="D48" s="137"/>
      <c r="E48" s="138"/>
      <c r="F48" s="139"/>
      <c r="G48" s="127"/>
      <c r="H48" s="101"/>
      <c r="I48" s="101"/>
      <c r="J48" s="29"/>
      <c r="K48" s="30"/>
      <c r="L48" s="104" t="s">
        <v>19</v>
      </c>
      <c r="M48" s="105"/>
      <c r="N48" s="105"/>
      <c r="O48" s="106"/>
      <c r="P48" s="131"/>
      <c r="Q48" s="131"/>
      <c r="R48" s="132"/>
      <c r="S48" s="101"/>
      <c r="T48" s="101"/>
      <c r="U48" s="29"/>
      <c r="V48" s="30"/>
      <c r="W48" s="104" t="s">
        <v>19</v>
      </c>
      <c r="X48" s="105"/>
      <c r="Y48" s="105"/>
      <c r="Z48" s="106"/>
    </row>
    <row r="49" spans="1:26" ht="6.75" customHeight="1" x14ac:dyDescent="0.25">
      <c r="A49" s="118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20"/>
    </row>
    <row r="50" spans="1:26" ht="21" customHeight="1" x14ac:dyDescent="0.25">
      <c r="A50" s="121" t="s">
        <v>94</v>
      </c>
      <c r="B50" s="122"/>
      <c r="C50" s="133"/>
      <c r="D50" s="121" t="s">
        <v>102</v>
      </c>
      <c r="E50" s="122"/>
      <c r="F50" s="133"/>
      <c r="G50" s="99" t="s">
        <v>23</v>
      </c>
      <c r="H50" s="99">
        <v>2</v>
      </c>
      <c r="I50" s="99">
        <v>1</v>
      </c>
      <c r="J50" s="102" t="s">
        <v>18</v>
      </c>
      <c r="K50" s="23">
        <v>4</v>
      </c>
      <c r="L50" s="53" t="str">
        <f>IF(AND(H50=1, I50=4),"X","")</f>
        <v/>
      </c>
      <c r="M50" s="26" t="str">
        <f>IF(AND(H50=2, I50=4),"X","")</f>
        <v/>
      </c>
      <c r="N50" s="26" t="str">
        <f>IF(AND(H50=3,I50=4)=TRUE,"X","")</f>
        <v/>
      </c>
      <c r="O50" s="26" t="str">
        <f>IF(AND(H50=4,I50=4)=TRUE,"X","")</f>
        <v/>
      </c>
      <c r="P50" s="128" t="s">
        <v>103</v>
      </c>
      <c r="Q50" s="129"/>
      <c r="R50" s="130"/>
      <c r="S50" s="99">
        <v>2</v>
      </c>
      <c r="T50" s="99">
        <v>1</v>
      </c>
      <c r="U50" s="102" t="s">
        <v>18</v>
      </c>
      <c r="V50" s="23">
        <v>4</v>
      </c>
      <c r="W50" s="53" t="str">
        <f>IF(AND(S50=1, T50=4),"X","")</f>
        <v/>
      </c>
      <c r="X50" s="26" t="str">
        <f>IF(AND(S50=2, T50=4),"X","")</f>
        <v/>
      </c>
      <c r="Y50" s="26" t="str">
        <f>IF(AND(S50=3,T50=4)=TRUE,"X","")</f>
        <v/>
      </c>
      <c r="Z50" s="26" t="str">
        <f>IF(AND(S50=4,T50=4)=TRUE,"X","")</f>
        <v/>
      </c>
    </row>
    <row r="51" spans="1:26" ht="21" customHeight="1" x14ac:dyDescent="0.25">
      <c r="A51" s="134"/>
      <c r="B51" s="135"/>
      <c r="C51" s="136"/>
      <c r="D51" s="134"/>
      <c r="E51" s="135"/>
      <c r="F51" s="136"/>
      <c r="G51" s="100"/>
      <c r="H51" s="100"/>
      <c r="I51" s="100"/>
      <c r="J51" s="103"/>
      <c r="K51" s="23">
        <v>3</v>
      </c>
      <c r="L51" s="54" t="str">
        <f>IF(AND(H50=1,I50=3)=TRUE,"X","")</f>
        <v/>
      </c>
      <c r="M51" s="54" t="str">
        <f>IF(AND(H50=2,I50=3)=TRUE,"X","")</f>
        <v/>
      </c>
      <c r="N51" s="26" t="str">
        <f>IF(AND(H50=3,I50=3)=TRUE,"X","")</f>
        <v/>
      </c>
      <c r="O51" s="26" t="str">
        <f>IF(AND(H50=4,I50=3)=TRUE,"X","")</f>
        <v/>
      </c>
      <c r="P51" s="131"/>
      <c r="Q51" s="131"/>
      <c r="R51" s="132"/>
      <c r="S51" s="100"/>
      <c r="T51" s="100"/>
      <c r="U51" s="103"/>
      <c r="V51" s="23">
        <v>3</v>
      </c>
      <c r="W51" s="54" t="str">
        <f>IF(AND(S50=1,T50=3)=TRUE,"X","")</f>
        <v/>
      </c>
      <c r="X51" s="54" t="str">
        <f>IF(AND(S50=2,T50=3)=TRUE,"X","")</f>
        <v/>
      </c>
      <c r="Y51" s="26" t="str">
        <f>IF(AND(S50=3,T50=3)=TRUE,"X","")</f>
        <v/>
      </c>
      <c r="Z51" s="26" t="str">
        <f>IF(AND(S50=4,T50=3)=TRUE,"X","")</f>
        <v/>
      </c>
    </row>
    <row r="52" spans="1:26" ht="21" customHeight="1" x14ac:dyDescent="0.25">
      <c r="A52" s="134"/>
      <c r="B52" s="135"/>
      <c r="C52" s="136"/>
      <c r="D52" s="134"/>
      <c r="E52" s="135"/>
      <c r="F52" s="136"/>
      <c r="G52" s="99"/>
      <c r="H52" s="100"/>
      <c r="I52" s="100"/>
      <c r="J52" s="103"/>
      <c r="K52" s="23">
        <v>2</v>
      </c>
      <c r="L52" s="25" t="str">
        <f>IF(AND(H50=1,I50=2)=TRUE,"X","")</f>
        <v/>
      </c>
      <c r="M52" s="25" t="str">
        <f>IF(AND(H50=2,I50=2)=TRUE,"X","")</f>
        <v/>
      </c>
      <c r="N52" s="54" t="str">
        <f>IF(AND(H50=3,I50=2)=TRUE,"X","")</f>
        <v/>
      </c>
      <c r="O52" s="54" t="str">
        <f>IF(AND(H50=4,I50=2)=TRUE,"X","")</f>
        <v/>
      </c>
      <c r="P52" s="131"/>
      <c r="Q52" s="131"/>
      <c r="R52" s="132"/>
      <c r="S52" s="100"/>
      <c r="T52" s="100"/>
      <c r="U52" s="103"/>
      <c r="V52" s="23">
        <v>2</v>
      </c>
      <c r="W52" s="25" t="str">
        <f>IF(AND(S50=1,T50=2)=TRUE,"X","")</f>
        <v/>
      </c>
      <c r="X52" s="25" t="str">
        <f>IF(AND(S50=2,T50=2)=TRUE,"X","")</f>
        <v/>
      </c>
      <c r="Y52" s="54" t="str">
        <f>IF(AND(S50=3,T50=2)=TRUE,"X","")</f>
        <v/>
      </c>
      <c r="Z52" s="54" t="str">
        <f>IF(AND(S50=4,T50=2)=TRUE,"X","")</f>
        <v/>
      </c>
    </row>
    <row r="53" spans="1:26" ht="21" customHeight="1" x14ac:dyDescent="0.25">
      <c r="A53" s="134"/>
      <c r="B53" s="135"/>
      <c r="C53" s="136"/>
      <c r="D53" s="134"/>
      <c r="E53" s="135"/>
      <c r="F53" s="136"/>
      <c r="G53" s="100"/>
      <c r="H53" s="100"/>
      <c r="I53" s="100"/>
      <c r="J53" s="103"/>
      <c r="K53" s="23">
        <v>1</v>
      </c>
      <c r="L53" s="24" t="str">
        <f>IF(AND(H50=1,I50=1)=TRUE,"X","")</f>
        <v/>
      </c>
      <c r="M53" s="24" t="str">
        <f>IF(AND(H50=2,I50=1)=TRUE,"X","")</f>
        <v>X</v>
      </c>
      <c r="N53" s="25" t="str">
        <f>IF(AND(H50=3,I50=1)=TRUE,"X","")</f>
        <v/>
      </c>
      <c r="O53" s="25" t="str">
        <f>IF(AND(H50=4,I50=1)=TRUE,"X","")</f>
        <v/>
      </c>
      <c r="P53" s="131"/>
      <c r="Q53" s="131"/>
      <c r="R53" s="132"/>
      <c r="S53" s="100"/>
      <c r="T53" s="100"/>
      <c r="U53" s="103"/>
      <c r="V53" s="23">
        <v>1</v>
      </c>
      <c r="W53" s="24" t="str">
        <f>IF(AND(S50=1,T50=1)=TRUE,"X","")</f>
        <v/>
      </c>
      <c r="X53" s="24" t="str">
        <f>IF(AND(S50=2,T50=1)=TRUE,"X","")</f>
        <v>X</v>
      </c>
      <c r="Y53" s="25" t="str">
        <f>IF(AND(S50=3,T50=1)=TRUE,"X","")</f>
        <v/>
      </c>
      <c r="Z53" s="25" t="str">
        <f>IF(AND(S50=4,T50=1)=TRUE,"X","")</f>
        <v/>
      </c>
    </row>
    <row r="54" spans="1:26" ht="21" customHeight="1" x14ac:dyDescent="0.25">
      <c r="A54" s="134"/>
      <c r="B54" s="135"/>
      <c r="C54" s="136"/>
      <c r="D54" s="134"/>
      <c r="E54" s="135"/>
      <c r="F54" s="136"/>
      <c r="G54" s="99"/>
      <c r="H54" s="100"/>
      <c r="I54" s="100"/>
      <c r="J54" s="15"/>
      <c r="K54" s="27"/>
      <c r="L54" s="23">
        <v>1</v>
      </c>
      <c r="M54" s="23">
        <v>2</v>
      </c>
      <c r="N54" s="23">
        <v>3</v>
      </c>
      <c r="O54" s="13">
        <v>4</v>
      </c>
      <c r="P54" s="131"/>
      <c r="Q54" s="131"/>
      <c r="R54" s="132"/>
      <c r="S54" s="100"/>
      <c r="T54" s="100"/>
      <c r="U54" s="15"/>
      <c r="V54" s="27"/>
      <c r="W54" s="23">
        <v>1</v>
      </c>
      <c r="X54" s="23">
        <v>2</v>
      </c>
      <c r="Y54" s="23">
        <v>3</v>
      </c>
      <c r="Z54" s="13">
        <v>4</v>
      </c>
    </row>
    <row r="55" spans="1:26" ht="21" customHeight="1" x14ac:dyDescent="0.25">
      <c r="A55" s="137"/>
      <c r="B55" s="138"/>
      <c r="C55" s="139"/>
      <c r="D55" s="134"/>
      <c r="E55" s="135"/>
      <c r="F55" s="136"/>
      <c r="G55" s="100"/>
      <c r="H55" s="100"/>
      <c r="I55" s="100"/>
      <c r="J55" s="22"/>
      <c r="K55" s="14"/>
      <c r="L55" s="115" t="s">
        <v>19</v>
      </c>
      <c r="M55" s="116"/>
      <c r="N55" s="116"/>
      <c r="O55" s="117"/>
      <c r="P55" s="131"/>
      <c r="Q55" s="131"/>
      <c r="R55" s="132"/>
      <c r="S55" s="100"/>
      <c r="T55" s="100"/>
      <c r="U55" s="22"/>
      <c r="V55" s="14"/>
      <c r="W55" s="115" t="s">
        <v>19</v>
      </c>
      <c r="X55" s="116"/>
      <c r="Y55" s="116"/>
      <c r="Z55" s="117"/>
    </row>
    <row r="56" spans="1:26" ht="6.75" customHeight="1" x14ac:dyDescent="0.25">
      <c r="A56" s="118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20"/>
    </row>
    <row r="57" spans="1:26" ht="21" customHeight="1" x14ac:dyDescent="0.25">
      <c r="A57" s="121" t="s">
        <v>104</v>
      </c>
      <c r="B57" s="122"/>
      <c r="C57" s="133"/>
      <c r="D57" s="121" t="s">
        <v>105</v>
      </c>
      <c r="E57" s="122"/>
      <c r="F57" s="133"/>
      <c r="G57" s="99" t="s">
        <v>23</v>
      </c>
      <c r="H57" s="99">
        <v>2</v>
      </c>
      <c r="I57" s="99">
        <v>1</v>
      </c>
      <c r="J57" s="102" t="s">
        <v>18</v>
      </c>
      <c r="K57" s="23">
        <v>4</v>
      </c>
      <c r="L57" s="53" t="str">
        <f>IF(AND(H57=1, I57=4),"X","")</f>
        <v/>
      </c>
      <c r="M57" s="26" t="str">
        <f>IF(AND(H57=2, I57=4),"X","")</f>
        <v/>
      </c>
      <c r="N57" s="26" t="str">
        <f>IF(AND(H57=3,I57=4)=TRUE,"X","")</f>
        <v/>
      </c>
      <c r="O57" s="26" t="str">
        <f>IF(AND(H57=4,I57=4)=TRUE,"X","")</f>
        <v/>
      </c>
      <c r="P57" s="128" t="s">
        <v>106</v>
      </c>
      <c r="Q57" s="129"/>
      <c r="R57" s="130"/>
      <c r="S57" s="99">
        <v>2</v>
      </c>
      <c r="T57" s="99">
        <v>1</v>
      </c>
      <c r="U57" s="102" t="s">
        <v>18</v>
      </c>
      <c r="V57" s="23">
        <v>4</v>
      </c>
      <c r="W57" s="53" t="str">
        <f>IF(AND(S57=1, T57=4),"X","")</f>
        <v/>
      </c>
      <c r="X57" s="26" t="str">
        <f>IF(AND(S57=2, T57=4),"X","")</f>
        <v/>
      </c>
      <c r="Y57" s="26" t="str">
        <f>IF(AND(S57=3,T57=4)=TRUE,"X","")</f>
        <v/>
      </c>
      <c r="Z57" s="26" t="str">
        <f>IF(AND(S57=4,T57=4)=TRUE,"X","")</f>
        <v/>
      </c>
    </row>
    <row r="58" spans="1:26" ht="21" customHeight="1" x14ac:dyDescent="0.25">
      <c r="A58" s="134"/>
      <c r="B58" s="135"/>
      <c r="C58" s="136"/>
      <c r="D58" s="134"/>
      <c r="E58" s="135"/>
      <c r="F58" s="136"/>
      <c r="G58" s="100"/>
      <c r="H58" s="100"/>
      <c r="I58" s="100"/>
      <c r="J58" s="103"/>
      <c r="K58" s="23">
        <v>3</v>
      </c>
      <c r="L58" s="54" t="str">
        <f>IF(AND(H57=1,I57=3)=TRUE,"X","")</f>
        <v/>
      </c>
      <c r="M58" s="54" t="str">
        <f>IF(AND(H57=2,I57=3)=TRUE,"X","")</f>
        <v/>
      </c>
      <c r="N58" s="26" t="str">
        <f>IF(AND(H57=3,I57=3)=TRUE,"X","")</f>
        <v/>
      </c>
      <c r="O58" s="26" t="str">
        <f>IF(AND(H57=4,I57=3)=TRUE,"X","")</f>
        <v/>
      </c>
      <c r="P58" s="131"/>
      <c r="Q58" s="131"/>
      <c r="R58" s="132"/>
      <c r="S58" s="100"/>
      <c r="T58" s="100"/>
      <c r="U58" s="103"/>
      <c r="V58" s="23">
        <v>3</v>
      </c>
      <c r="W58" s="54" t="str">
        <f>IF(AND(S57=1,T57=3)=TRUE,"X","")</f>
        <v/>
      </c>
      <c r="X58" s="54" t="str">
        <f>IF(AND(S57=2,T57=3)=TRUE,"X","")</f>
        <v/>
      </c>
      <c r="Y58" s="26" t="str">
        <f>IF(AND(S57=3,T57=3)=TRUE,"X","")</f>
        <v/>
      </c>
      <c r="Z58" s="26" t="str">
        <f>IF(AND(S57=4,T57=3)=TRUE,"X","")</f>
        <v/>
      </c>
    </row>
    <row r="59" spans="1:26" ht="21.75" customHeight="1" x14ac:dyDescent="0.25">
      <c r="A59" s="134"/>
      <c r="B59" s="135"/>
      <c r="C59" s="136"/>
      <c r="D59" s="134"/>
      <c r="E59" s="135"/>
      <c r="F59" s="136"/>
      <c r="G59" s="99"/>
      <c r="H59" s="100"/>
      <c r="I59" s="100"/>
      <c r="J59" s="103"/>
      <c r="K59" s="23">
        <v>2</v>
      </c>
      <c r="L59" s="25" t="str">
        <f>IF(AND(H57=1,I57=2)=TRUE,"X","")</f>
        <v/>
      </c>
      <c r="M59" s="25" t="str">
        <f>IF(AND(H57=2,I57=2)=TRUE,"X","")</f>
        <v/>
      </c>
      <c r="N59" s="54" t="str">
        <f>IF(AND(H57=3,I57=2)=TRUE,"X","")</f>
        <v/>
      </c>
      <c r="O59" s="54" t="str">
        <f>IF(AND(H57=4,I57=2)=TRUE,"X","")</f>
        <v/>
      </c>
      <c r="P59" s="131"/>
      <c r="Q59" s="131"/>
      <c r="R59" s="132"/>
      <c r="S59" s="100"/>
      <c r="T59" s="100"/>
      <c r="U59" s="103"/>
      <c r="V59" s="23">
        <v>2</v>
      </c>
      <c r="W59" s="25" t="str">
        <f>IF(AND(S57=1,T57=2)=TRUE,"X","")</f>
        <v/>
      </c>
      <c r="X59" s="25" t="str">
        <f>IF(AND(S57=2,T57=2)=TRUE,"X","")</f>
        <v/>
      </c>
      <c r="Y59" s="54" t="str">
        <f>IF(AND(S57=3,T57=2)=TRUE,"X","")</f>
        <v/>
      </c>
      <c r="Z59" s="54" t="str">
        <f>IF(AND(S57=4,T57=2)=TRUE,"X","")</f>
        <v/>
      </c>
    </row>
    <row r="60" spans="1:26" ht="20.25" customHeight="1" x14ac:dyDescent="0.25">
      <c r="A60" s="134"/>
      <c r="B60" s="135"/>
      <c r="C60" s="136"/>
      <c r="D60" s="134"/>
      <c r="E60" s="135"/>
      <c r="F60" s="136"/>
      <c r="G60" s="100"/>
      <c r="H60" s="100"/>
      <c r="I60" s="100"/>
      <c r="J60" s="103"/>
      <c r="K60" s="23">
        <v>1</v>
      </c>
      <c r="L60" s="24" t="str">
        <f>IF(AND(H57=1,I57=1)=TRUE,"X","")</f>
        <v/>
      </c>
      <c r="M60" s="24" t="str">
        <f>IF(AND(H57=2,I57=1)=TRUE,"X","")</f>
        <v>X</v>
      </c>
      <c r="N60" s="25" t="str">
        <f>IF(AND(H57=3,I57=1)=TRUE,"X","")</f>
        <v/>
      </c>
      <c r="O60" s="25" t="str">
        <f>IF(AND(H57=4,I57=1)=TRUE,"X","")</f>
        <v/>
      </c>
      <c r="P60" s="131"/>
      <c r="Q60" s="131"/>
      <c r="R60" s="132"/>
      <c r="S60" s="100"/>
      <c r="T60" s="100"/>
      <c r="U60" s="103"/>
      <c r="V60" s="23">
        <v>1</v>
      </c>
      <c r="W60" s="24" t="str">
        <f>IF(AND(S57=1,T57=1)=TRUE,"X","")</f>
        <v/>
      </c>
      <c r="X60" s="24" t="str">
        <f>IF(AND(S57=2,T57=1)=TRUE,"X","")</f>
        <v>X</v>
      </c>
      <c r="Y60" s="25" t="str">
        <f>IF(AND(S57=3,T57=1)=TRUE,"X","")</f>
        <v/>
      </c>
      <c r="Z60" s="25" t="str">
        <f>IF(AND(S57=4,T57=1)=TRUE,"X","")</f>
        <v/>
      </c>
    </row>
    <row r="61" spans="1:26" ht="18.75" customHeight="1" x14ac:dyDescent="0.25">
      <c r="A61" s="134"/>
      <c r="B61" s="135"/>
      <c r="C61" s="136"/>
      <c r="D61" s="134"/>
      <c r="E61" s="135"/>
      <c r="F61" s="136"/>
      <c r="G61" s="99"/>
      <c r="H61" s="100"/>
      <c r="I61" s="100"/>
      <c r="J61" s="15"/>
      <c r="K61" s="27"/>
      <c r="L61" s="23">
        <v>1</v>
      </c>
      <c r="M61" s="23">
        <v>2</v>
      </c>
      <c r="N61" s="23">
        <v>3</v>
      </c>
      <c r="O61" s="13">
        <v>4</v>
      </c>
      <c r="P61" s="131"/>
      <c r="Q61" s="131"/>
      <c r="R61" s="132"/>
      <c r="S61" s="100"/>
      <c r="T61" s="100"/>
      <c r="U61" s="15"/>
      <c r="V61" s="27"/>
      <c r="W61" s="23">
        <v>1</v>
      </c>
      <c r="X61" s="23">
        <v>2</v>
      </c>
      <c r="Y61" s="23">
        <v>3</v>
      </c>
      <c r="Z61" s="13">
        <v>4</v>
      </c>
    </row>
    <row r="62" spans="1:26" ht="19.5" customHeight="1" x14ac:dyDescent="0.25">
      <c r="A62" s="134"/>
      <c r="B62" s="135"/>
      <c r="C62" s="136"/>
      <c r="D62" s="134"/>
      <c r="E62" s="135"/>
      <c r="F62" s="136"/>
      <c r="G62" s="100"/>
      <c r="H62" s="100"/>
      <c r="I62" s="100"/>
      <c r="J62" s="22"/>
      <c r="K62" s="14"/>
      <c r="L62" s="115" t="s">
        <v>19</v>
      </c>
      <c r="M62" s="116"/>
      <c r="N62" s="116"/>
      <c r="O62" s="117"/>
      <c r="P62" s="131"/>
      <c r="Q62" s="131"/>
      <c r="R62" s="132"/>
      <c r="S62" s="100"/>
      <c r="T62" s="100"/>
      <c r="U62" s="22"/>
      <c r="V62" s="14"/>
      <c r="W62" s="115" t="s">
        <v>19</v>
      </c>
      <c r="X62" s="116"/>
      <c r="Y62" s="116"/>
      <c r="Z62" s="117"/>
    </row>
    <row r="63" spans="1:26" ht="6.75" customHeight="1" x14ac:dyDescent="0.25">
      <c r="A63" s="118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20"/>
    </row>
    <row r="64" spans="1:26" ht="21" customHeight="1" x14ac:dyDescent="0.25">
      <c r="A64" s="121" t="s">
        <v>107</v>
      </c>
      <c r="B64" s="92"/>
      <c r="C64" s="108"/>
      <c r="D64" s="121" t="s">
        <v>108</v>
      </c>
      <c r="E64" s="92"/>
      <c r="F64" s="108"/>
      <c r="G64" s="99" t="s">
        <v>23</v>
      </c>
      <c r="H64" s="99">
        <v>2</v>
      </c>
      <c r="I64" s="99">
        <v>1</v>
      </c>
      <c r="J64" s="102" t="s">
        <v>18</v>
      </c>
      <c r="K64" s="23">
        <v>4</v>
      </c>
      <c r="L64" s="53" t="str">
        <f>IF(AND(H64=1, I64=4),"X","")</f>
        <v/>
      </c>
      <c r="M64" s="26" t="str">
        <f>IF(AND(H64=2, I64=4),"X","")</f>
        <v/>
      </c>
      <c r="N64" s="26" t="str">
        <f>IF(AND(H64=3,I64=4)=TRUE,"X","")</f>
        <v/>
      </c>
      <c r="O64" s="26" t="str">
        <f>IF(AND(H64=4,I64=4)=TRUE,"X","")</f>
        <v/>
      </c>
      <c r="P64" s="128" t="s">
        <v>109</v>
      </c>
      <c r="Q64" s="129"/>
      <c r="R64" s="130"/>
      <c r="S64" s="99">
        <v>2</v>
      </c>
      <c r="T64" s="99">
        <v>1</v>
      </c>
      <c r="U64" s="102" t="s">
        <v>18</v>
      </c>
      <c r="V64" s="23">
        <v>4</v>
      </c>
      <c r="W64" s="53" t="str">
        <f>IF(AND(S64=1, T64=4),"X","")</f>
        <v/>
      </c>
      <c r="X64" s="26" t="str">
        <f>IF(AND(S64=2, T64=4),"X","")</f>
        <v/>
      </c>
      <c r="Y64" s="26" t="str">
        <f>IF(AND(S64=3,T64=4)=TRUE,"X","")</f>
        <v/>
      </c>
      <c r="Z64" s="26" t="str">
        <f>IF(AND(S64=4,T64=4)=TRUE,"X","")</f>
        <v/>
      </c>
    </row>
    <row r="65" spans="1:26" ht="21" customHeight="1" x14ac:dyDescent="0.25">
      <c r="A65" s="109"/>
      <c r="B65" s="110"/>
      <c r="C65" s="111"/>
      <c r="D65" s="109"/>
      <c r="E65" s="110"/>
      <c r="F65" s="111"/>
      <c r="G65" s="100"/>
      <c r="H65" s="100"/>
      <c r="I65" s="100"/>
      <c r="J65" s="103"/>
      <c r="K65" s="23">
        <v>3</v>
      </c>
      <c r="L65" s="54" t="str">
        <f>IF(AND(H64=1,I64=3)=TRUE,"X","")</f>
        <v/>
      </c>
      <c r="M65" s="54" t="str">
        <f>IF(AND(H64=2,I64=3)=TRUE,"X","")</f>
        <v/>
      </c>
      <c r="N65" s="26" t="str">
        <f>IF(AND(H64=3,I64=3)=TRUE,"X","")</f>
        <v/>
      </c>
      <c r="O65" s="26" t="str">
        <f>IF(AND(H64=4,I64=3)=TRUE,"X","")</f>
        <v/>
      </c>
      <c r="P65" s="131"/>
      <c r="Q65" s="131"/>
      <c r="R65" s="132"/>
      <c r="S65" s="100"/>
      <c r="T65" s="100"/>
      <c r="U65" s="103"/>
      <c r="V65" s="23">
        <v>3</v>
      </c>
      <c r="W65" s="54" t="str">
        <f>IF(AND(S64=1,T64=3)=TRUE,"X","")</f>
        <v/>
      </c>
      <c r="X65" s="54" t="str">
        <f>IF(AND(S64=2,T64=3)=TRUE,"X","")</f>
        <v/>
      </c>
      <c r="Y65" s="26" t="str">
        <f>IF(AND(S64=3,T64=3)=TRUE,"X","")</f>
        <v/>
      </c>
      <c r="Z65" s="26" t="str">
        <f>IF(AND(S64=4,T64=3)=TRUE,"X","")</f>
        <v/>
      </c>
    </row>
    <row r="66" spans="1:26" ht="21.75" customHeight="1" x14ac:dyDescent="0.25">
      <c r="A66" s="109"/>
      <c r="B66" s="110"/>
      <c r="C66" s="111"/>
      <c r="D66" s="109"/>
      <c r="E66" s="110"/>
      <c r="F66" s="111"/>
      <c r="G66" s="99"/>
      <c r="H66" s="100"/>
      <c r="I66" s="100"/>
      <c r="J66" s="103"/>
      <c r="K66" s="23">
        <v>2</v>
      </c>
      <c r="L66" s="25" t="str">
        <f>IF(AND(H64=1,I64=2)=TRUE,"X","")</f>
        <v/>
      </c>
      <c r="M66" s="25" t="str">
        <f>IF(AND(H64=2,I64=2)=TRUE,"X","")</f>
        <v/>
      </c>
      <c r="N66" s="54" t="str">
        <f>IF(AND(H64=3,I64=2)=TRUE,"X","")</f>
        <v/>
      </c>
      <c r="O66" s="54" t="str">
        <f>IF(AND(H64=4,I64=2)=TRUE,"X","")</f>
        <v/>
      </c>
      <c r="P66" s="131"/>
      <c r="Q66" s="131"/>
      <c r="R66" s="132"/>
      <c r="S66" s="100"/>
      <c r="T66" s="100"/>
      <c r="U66" s="103"/>
      <c r="V66" s="23">
        <v>2</v>
      </c>
      <c r="W66" s="25" t="str">
        <f>IF(AND(S64=1,T64=2)=TRUE,"X","")</f>
        <v/>
      </c>
      <c r="X66" s="25" t="str">
        <f>IF(AND(S64=2,T64=2)=TRUE,"X","")</f>
        <v/>
      </c>
      <c r="Y66" s="54" t="str">
        <f>IF(AND(S64=3,T64=2)=TRUE,"X","")</f>
        <v/>
      </c>
      <c r="Z66" s="54" t="str">
        <f>IF(AND(S64=4,T64=2)=TRUE,"X","")</f>
        <v/>
      </c>
    </row>
    <row r="67" spans="1:26" ht="24" customHeight="1" x14ac:dyDescent="0.25">
      <c r="A67" s="109"/>
      <c r="B67" s="110"/>
      <c r="C67" s="111"/>
      <c r="D67" s="109"/>
      <c r="E67" s="110"/>
      <c r="F67" s="111"/>
      <c r="G67" s="100"/>
      <c r="H67" s="100"/>
      <c r="I67" s="100"/>
      <c r="J67" s="103"/>
      <c r="K67" s="23">
        <v>1</v>
      </c>
      <c r="L67" s="24" t="str">
        <f>IF(AND(H64=1,I64=1)=TRUE,"X","")</f>
        <v/>
      </c>
      <c r="M67" s="24" t="str">
        <f>IF(AND(H64=2,I64=1)=TRUE,"X","")</f>
        <v>X</v>
      </c>
      <c r="N67" s="25" t="str">
        <f>IF(AND(H64=3,I64=1)=TRUE,"X","")</f>
        <v/>
      </c>
      <c r="O67" s="25" t="str">
        <f>IF(AND(H64=4,I64=1)=TRUE,"X","")</f>
        <v/>
      </c>
      <c r="P67" s="131"/>
      <c r="Q67" s="131"/>
      <c r="R67" s="132"/>
      <c r="S67" s="100"/>
      <c r="T67" s="100"/>
      <c r="U67" s="103"/>
      <c r="V67" s="23">
        <v>1</v>
      </c>
      <c r="W67" s="24" t="str">
        <f>IF(AND(S64=1,T64=1)=TRUE,"X","")</f>
        <v/>
      </c>
      <c r="X67" s="24" t="str">
        <f>IF(AND(S64=2,T64=1)=TRUE,"X","")</f>
        <v>X</v>
      </c>
      <c r="Y67" s="25" t="str">
        <f>IF(AND(S64=3,T64=1)=TRUE,"X","")</f>
        <v/>
      </c>
      <c r="Z67" s="25" t="str">
        <f>IF(AND(S64=4,T64=1)=TRUE,"X","")</f>
        <v/>
      </c>
    </row>
    <row r="68" spans="1:26" ht="18.75" customHeight="1" x14ac:dyDescent="0.25">
      <c r="A68" s="109"/>
      <c r="B68" s="110"/>
      <c r="C68" s="111"/>
      <c r="D68" s="109"/>
      <c r="E68" s="110"/>
      <c r="F68" s="111"/>
      <c r="G68" s="123" t="s">
        <v>22</v>
      </c>
      <c r="H68" s="100"/>
      <c r="I68" s="100"/>
      <c r="J68" s="15"/>
      <c r="K68" s="27"/>
      <c r="L68" s="23">
        <v>1</v>
      </c>
      <c r="M68" s="23">
        <v>2</v>
      </c>
      <c r="N68" s="23">
        <v>3</v>
      </c>
      <c r="O68" s="13">
        <v>4</v>
      </c>
      <c r="P68" s="131"/>
      <c r="Q68" s="131"/>
      <c r="R68" s="132"/>
      <c r="S68" s="100"/>
      <c r="T68" s="100"/>
      <c r="U68" s="15"/>
      <c r="V68" s="27"/>
      <c r="W68" s="23">
        <v>1</v>
      </c>
      <c r="X68" s="23">
        <v>2</v>
      </c>
      <c r="Y68" s="23">
        <v>3</v>
      </c>
      <c r="Z68" s="13">
        <v>4</v>
      </c>
    </row>
    <row r="69" spans="1:26" ht="19.5" customHeight="1" x14ac:dyDescent="0.25">
      <c r="A69" s="109"/>
      <c r="B69" s="110"/>
      <c r="C69" s="111"/>
      <c r="D69" s="109"/>
      <c r="E69" s="110"/>
      <c r="F69" s="111"/>
      <c r="G69" s="100"/>
      <c r="H69" s="100"/>
      <c r="I69" s="100"/>
      <c r="J69" s="22"/>
      <c r="K69" s="14"/>
      <c r="L69" s="115" t="s">
        <v>19</v>
      </c>
      <c r="M69" s="116"/>
      <c r="N69" s="116"/>
      <c r="O69" s="117"/>
      <c r="P69" s="131"/>
      <c r="Q69" s="131"/>
      <c r="R69" s="132"/>
      <c r="S69" s="100"/>
      <c r="T69" s="100"/>
      <c r="U69" s="22"/>
      <c r="V69" s="14"/>
      <c r="W69" s="115" t="s">
        <v>19</v>
      </c>
      <c r="X69" s="116"/>
      <c r="Y69" s="116"/>
      <c r="Z69" s="117"/>
    </row>
    <row r="70" spans="1:26" ht="6.75" customHeight="1" x14ac:dyDescent="0.25">
      <c r="A70" s="118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20"/>
    </row>
    <row r="71" spans="1:26" ht="21" customHeight="1" x14ac:dyDescent="0.25">
      <c r="A71" s="121" t="s">
        <v>112</v>
      </c>
      <c r="B71" s="92"/>
      <c r="C71" s="108"/>
      <c r="D71" s="121" t="s">
        <v>110</v>
      </c>
      <c r="E71" s="92"/>
      <c r="F71" s="108"/>
      <c r="G71" s="99" t="s">
        <v>23</v>
      </c>
      <c r="H71" s="99">
        <v>2</v>
      </c>
      <c r="I71" s="99">
        <v>1</v>
      </c>
      <c r="J71" s="102" t="s">
        <v>18</v>
      </c>
      <c r="K71" s="23">
        <v>4</v>
      </c>
      <c r="L71" s="53" t="str">
        <f>IF(AND(H71=1, I71=4),"X","")</f>
        <v/>
      </c>
      <c r="M71" s="26" t="str">
        <f>IF(AND(H71=2, I71=4),"X","")</f>
        <v/>
      </c>
      <c r="N71" s="26" t="str">
        <f>IF(AND(H71=3,I71=4)=TRUE,"X","")</f>
        <v/>
      </c>
      <c r="O71" s="26" t="str">
        <f>IF(AND(H71=4,I71=4)=TRUE,"X","")</f>
        <v/>
      </c>
      <c r="P71" s="128" t="s">
        <v>111</v>
      </c>
      <c r="Q71" s="129"/>
      <c r="R71" s="130"/>
      <c r="S71" s="99">
        <v>2</v>
      </c>
      <c r="T71" s="99">
        <v>1</v>
      </c>
      <c r="U71" s="102" t="s">
        <v>18</v>
      </c>
      <c r="V71" s="23">
        <v>4</v>
      </c>
      <c r="W71" s="53" t="str">
        <f>IF(AND(S71=1, T71=4),"X","")</f>
        <v/>
      </c>
      <c r="X71" s="26" t="str">
        <f>IF(AND(S71=2, T71=4),"X","")</f>
        <v/>
      </c>
      <c r="Y71" s="26" t="str">
        <f>IF(AND(S71=3,T71=4)=TRUE,"X","")</f>
        <v/>
      </c>
      <c r="Z71" s="26" t="str">
        <f>IF(AND(S71=4,T71=4)=TRUE,"X","")</f>
        <v/>
      </c>
    </row>
    <row r="72" spans="1:26" ht="21" customHeight="1" x14ac:dyDescent="0.25">
      <c r="A72" s="109"/>
      <c r="B72" s="110"/>
      <c r="C72" s="111"/>
      <c r="D72" s="109"/>
      <c r="E72" s="110"/>
      <c r="F72" s="111"/>
      <c r="G72" s="100"/>
      <c r="H72" s="100"/>
      <c r="I72" s="100"/>
      <c r="J72" s="103"/>
      <c r="K72" s="23">
        <v>3</v>
      </c>
      <c r="L72" s="54" t="str">
        <f>IF(AND(H71=1,I71=3)=TRUE,"X","")</f>
        <v/>
      </c>
      <c r="M72" s="54" t="str">
        <f>IF(AND(H71=2,I71=3)=TRUE,"X","")</f>
        <v/>
      </c>
      <c r="N72" s="26" t="str">
        <f>IF(AND(H71=3,I71=3)=TRUE,"X","")</f>
        <v/>
      </c>
      <c r="O72" s="26" t="str">
        <f>IF(AND(H71=4,I71=3)=TRUE,"X","")</f>
        <v/>
      </c>
      <c r="P72" s="131"/>
      <c r="Q72" s="131"/>
      <c r="R72" s="132"/>
      <c r="S72" s="100"/>
      <c r="T72" s="100"/>
      <c r="U72" s="103"/>
      <c r="V72" s="23">
        <v>3</v>
      </c>
      <c r="W72" s="54" t="str">
        <f>IF(AND(S71=1,T71=3)=TRUE,"X","")</f>
        <v/>
      </c>
      <c r="X72" s="54" t="str">
        <f>IF(AND(S71=2,T71=3)=TRUE,"X","")</f>
        <v/>
      </c>
      <c r="Y72" s="26" t="str">
        <f>IF(AND(S71=3,T71=3)=TRUE,"X","")</f>
        <v/>
      </c>
      <c r="Z72" s="26" t="str">
        <f>IF(AND(S71=4,T71=3)=TRUE,"X","")</f>
        <v/>
      </c>
    </row>
    <row r="73" spans="1:26" ht="21.75" customHeight="1" x14ac:dyDescent="0.25">
      <c r="A73" s="109"/>
      <c r="B73" s="110"/>
      <c r="C73" s="111"/>
      <c r="D73" s="109"/>
      <c r="E73" s="110"/>
      <c r="F73" s="111"/>
      <c r="G73" s="123" t="s">
        <v>22</v>
      </c>
      <c r="H73" s="100"/>
      <c r="I73" s="100"/>
      <c r="J73" s="103"/>
      <c r="K73" s="23">
        <v>2</v>
      </c>
      <c r="L73" s="25" t="str">
        <f>IF(AND(H71=1,I71=2)=TRUE,"X","")</f>
        <v/>
      </c>
      <c r="M73" s="25" t="str">
        <f>IF(AND(H71=2,I71=2)=TRUE,"X","")</f>
        <v/>
      </c>
      <c r="N73" s="54" t="str">
        <f>IF(AND(H71=3,I71=2)=TRUE,"X","")</f>
        <v/>
      </c>
      <c r="O73" s="54" t="str">
        <f>IF(AND(H71=4,I71=2)=TRUE,"X","")</f>
        <v/>
      </c>
      <c r="P73" s="131"/>
      <c r="Q73" s="131"/>
      <c r="R73" s="132"/>
      <c r="S73" s="100"/>
      <c r="T73" s="100"/>
      <c r="U73" s="103"/>
      <c r="V73" s="23">
        <v>2</v>
      </c>
      <c r="W73" s="25" t="str">
        <f>IF(AND(S71=1,T71=2)=TRUE,"X","")</f>
        <v/>
      </c>
      <c r="X73" s="25" t="str">
        <f>IF(AND(S71=2,T71=2)=TRUE,"X","")</f>
        <v/>
      </c>
      <c r="Y73" s="54" t="str">
        <f>IF(AND(S71=3,T71=2)=TRUE,"X","")</f>
        <v/>
      </c>
      <c r="Z73" s="54" t="str">
        <f>IF(AND(S71=4,T71=2)=TRUE,"X","")</f>
        <v/>
      </c>
    </row>
    <row r="74" spans="1:26" ht="24" customHeight="1" x14ac:dyDescent="0.25">
      <c r="A74" s="109"/>
      <c r="B74" s="110"/>
      <c r="C74" s="111"/>
      <c r="D74" s="109"/>
      <c r="E74" s="110"/>
      <c r="F74" s="111"/>
      <c r="G74" s="100"/>
      <c r="H74" s="100"/>
      <c r="I74" s="100"/>
      <c r="J74" s="103"/>
      <c r="K74" s="23">
        <v>1</v>
      </c>
      <c r="L74" s="24" t="str">
        <f>IF(AND(H71=1,I71=1)=TRUE,"X","")</f>
        <v/>
      </c>
      <c r="M74" s="24" t="str">
        <f>IF(AND(H71=2,I71=1)=TRUE,"X","")</f>
        <v>X</v>
      </c>
      <c r="N74" s="25" t="str">
        <f>IF(AND(H71=3,I71=1)=TRUE,"X","")</f>
        <v/>
      </c>
      <c r="O74" s="25" t="str">
        <f>IF(AND(H71=4,I71=1)=TRUE,"X","")</f>
        <v/>
      </c>
      <c r="P74" s="131"/>
      <c r="Q74" s="131"/>
      <c r="R74" s="132"/>
      <c r="S74" s="100"/>
      <c r="T74" s="100"/>
      <c r="U74" s="103"/>
      <c r="V74" s="23">
        <v>1</v>
      </c>
      <c r="W74" s="24" t="str">
        <f>IF(AND(S71=1,T71=1)=TRUE,"X","")</f>
        <v/>
      </c>
      <c r="X74" s="24" t="str">
        <f>IF(AND(S71=2,T71=1)=TRUE,"X","")</f>
        <v>X</v>
      </c>
      <c r="Y74" s="25" t="str">
        <f>IF(AND(S71=3,T71=1)=TRUE,"X","")</f>
        <v/>
      </c>
      <c r="Z74" s="25" t="str">
        <f>IF(AND(S71=4,T71=1)=TRUE,"X","")</f>
        <v/>
      </c>
    </row>
    <row r="75" spans="1:26" ht="18.75" customHeight="1" x14ac:dyDescent="0.25">
      <c r="A75" s="109"/>
      <c r="B75" s="110"/>
      <c r="C75" s="111"/>
      <c r="D75" s="109"/>
      <c r="E75" s="110"/>
      <c r="F75" s="111"/>
      <c r="G75" s="99" t="s">
        <v>22</v>
      </c>
      <c r="H75" s="100"/>
      <c r="I75" s="100"/>
      <c r="J75" s="15"/>
      <c r="K75" s="27"/>
      <c r="L75" s="23">
        <v>1</v>
      </c>
      <c r="M75" s="23">
        <v>2</v>
      </c>
      <c r="N75" s="23">
        <v>3</v>
      </c>
      <c r="O75" s="13">
        <v>4</v>
      </c>
      <c r="P75" s="131"/>
      <c r="Q75" s="131"/>
      <c r="R75" s="132"/>
      <c r="S75" s="100"/>
      <c r="T75" s="100"/>
      <c r="U75" s="15"/>
      <c r="V75" s="27"/>
      <c r="W75" s="23">
        <v>1</v>
      </c>
      <c r="X75" s="23">
        <v>2</v>
      </c>
      <c r="Y75" s="23">
        <v>3</v>
      </c>
      <c r="Z75" s="13">
        <v>4</v>
      </c>
    </row>
    <row r="76" spans="1:26" ht="19.5" customHeight="1" x14ac:dyDescent="0.25">
      <c r="A76" s="109"/>
      <c r="B76" s="110"/>
      <c r="C76" s="111"/>
      <c r="D76" s="109"/>
      <c r="E76" s="110"/>
      <c r="F76" s="111"/>
      <c r="G76" s="100"/>
      <c r="H76" s="100"/>
      <c r="I76" s="100"/>
      <c r="J76" s="22"/>
      <c r="K76" s="14"/>
      <c r="L76" s="115" t="s">
        <v>19</v>
      </c>
      <c r="M76" s="116"/>
      <c r="N76" s="116"/>
      <c r="O76" s="117"/>
      <c r="P76" s="131"/>
      <c r="Q76" s="131"/>
      <c r="R76" s="132"/>
      <c r="S76" s="100"/>
      <c r="T76" s="100"/>
      <c r="U76" s="22"/>
      <c r="V76" s="14"/>
      <c r="W76" s="115" t="s">
        <v>19</v>
      </c>
      <c r="X76" s="116"/>
      <c r="Y76" s="116"/>
      <c r="Z76" s="117"/>
    </row>
    <row r="77" spans="1:26" ht="6.75" customHeight="1" x14ac:dyDescent="0.25">
      <c r="A77" s="118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20"/>
    </row>
    <row r="78" spans="1:26" ht="21" customHeight="1" x14ac:dyDescent="0.25">
      <c r="A78" s="121" t="s">
        <v>113</v>
      </c>
      <c r="B78" s="92"/>
      <c r="C78" s="108"/>
      <c r="D78" s="121" t="s">
        <v>114</v>
      </c>
      <c r="E78" s="92"/>
      <c r="F78" s="108"/>
      <c r="G78" s="99" t="s">
        <v>23</v>
      </c>
      <c r="H78" s="99">
        <v>1</v>
      </c>
      <c r="I78" s="99">
        <v>2</v>
      </c>
      <c r="J78" s="102" t="s">
        <v>18</v>
      </c>
      <c r="K78" s="23">
        <v>4</v>
      </c>
      <c r="L78" s="53" t="str">
        <f>IF(AND(H78=1, I78=4),"X","")</f>
        <v/>
      </c>
      <c r="M78" s="26" t="str">
        <f>IF(AND(H78=2, I78=4),"X","")</f>
        <v/>
      </c>
      <c r="N78" s="26" t="str">
        <f>IF(AND(H78=3,I78=4)=TRUE,"X","")</f>
        <v/>
      </c>
      <c r="O78" s="26" t="str">
        <f>IF(AND(H78=4,I78=4)=TRUE,"X","")</f>
        <v/>
      </c>
      <c r="P78" s="128" t="s">
        <v>117</v>
      </c>
      <c r="Q78" s="129"/>
      <c r="R78" s="130"/>
      <c r="S78" s="99">
        <v>1</v>
      </c>
      <c r="T78" s="99">
        <v>2</v>
      </c>
      <c r="U78" s="102" t="s">
        <v>18</v>
      </c>
      <c r="V78" s="23">
        <v>4</v>
      </c>
      <c r="W78" s="53" t="str">
        <f>IF(AND(S78=1, T78=4),"X","")</f>
        <v/>
      </c>
      <c r="X78" s="26" t="str">
        <f>IF(AND(S78=2, T78=4),"X","")</f>
        <v/>
      </c>
      <c r="Y78" s="26" t="str">
        <f>IF(AND(S78=3,T78=4)=TRUE,"X","")</f>
        <v/>
      </c>
      <c r="Z78" s="26" t="str">
        <f>IF(AND(S78=4,T78=4)=TRUE,"X","")</f>
        <v/>
      </c>
    </row>
    <row r="79" spans="1:26" ht="21" customHeight="1" x14ac:dyDescent="0.25">
      <c r="A79" s="109"/>
      <c r="B79" s="110"/>
      <c r="C79" s="111"/>
      <c r="D79" s="109"/>
      <c r="E79" s="110"/>
      <c r="F79" s="111"/>
      <c r="G79" s="100"/>
      <c r="H79" s="100"/>
      <c r="I79" s="100"/>
      <c r="J79" s="103"/>
      <c r="K79" s="23">
        <v>3</v>
      </c>
      <c r="L79" s="54" t="str">
        <f>IF(AND(H78=1,I78=3)=TRUE,"X","")</f>
        <v/>
      </c>
      <c r="M79" s="54" t="str">
        <f>IF(AND(H78=2,I78=3)=TRUE,"X","")</f>
        <v/>
      </c>
      <c r="N79" s="26" t="str">
        <f>IF(AND(H78=3,I78=3)=TRUE,"X","")</f>
        <v/>
      </c>
      <c r="O79" s="26" t="str">
        <f>IF(AND(H78=4,I78=3)=TRUE,"X","")</f>
        <v/>
      </c>
      <c r="P79" s="131"/>
      <c r="Q79" s="131"/>
      <c r="R79" s="132"/>
      <c r="S79" s="100"/>
      <c r="T79" s="100"/>
      <c r="U79" s="103"/>
      <c r="V79" s="23">
        <v>3</v>
      </c>
      <c r="W79" s="54" t="str">
        <f>IF(AND(S78=1,T78=3)=TRUE,"X","")</f>
        <v/>
      </c>
      <c r="X79" s="54" t="str">
        <f>IF(AND(S78=2,T78=3)=TRUE,"X","")</f>
        <v/>
      </c>
      <c r="Y79" s="26" t="str">
        <f>IF(AND(S78=3,T78=3)=TRUE,"X","")</f>
        <v/>
      </c>
      <c r="Z79" s="26" t="str">
        <f>IF(AND(S78=4,T78=3)=TRUE,"X","")</f>
        <v/>
      </c>
    </row>
    <row r="80" spans="1:26" ht="21.75" customHeight="1" x14ac:dyDescent="0.25">
      <c r="A80" s="109"/>
      <c r="B80" s="110"/>
      <c r="C80" s="111"/>
      <c r="D80" s="109"/>
      <c r="E80" s="110"/>
      <c r="F80" s="111"/>
      <c r="G80" s="123" t="s">
        <v>22</v>
      </c>
      <c r="H80" s="100"/>
      <c r="I80" s="100"/>
      <c r="J80" s="103"/>
      <c r="K80" s="23">
        <v>2</v>
      </c>
      <c r="L80" s="25" t="str">
        <f>IF(AND(H78=1,I78=2)=TRUE,"X","")</f>
        <v>X</v>
      </c>
      <c r="M80" s="25" t="str">
        <f>IF(AND(H78=2,I78=2)=TRUE,"X","")</f>
        <v/>
      </c>
      <c r="N80" s="54" t="str">
        <f>IF(AND(H78=3,I78=2)=TRUE,"X","")</f>
        <v/>
      </c>
      <c r="O80" s="54" t="str">
        <f>IF(AND(H78=4,I78=2)=TRUE,"X","")</f>
        <v/>
      </c>
      <c r="P80" s="131"/>
      <c r="Q80" s="131"/>
      <c r="R80" s="132"/>
      <c r="S80" s="100"/>
      <c r="T80" s="100"/>
      <c r="U80" s="103"/>
      <c r="V80" s="23">
        <v>2</v>
      </c>
      <c r="W80" s="25" t="str">
        <f>IF(AND(S78=1,T78=2)=TRUE,"X","")</f>
        <v>X</v>
      </c>
      <c r="X80" s="25" t="str">
        <f>IF(AND(S78=2,T78=2)=TRUE,"X","")</f>
        <v/>
      </c>
      <c r="Y80" s="54" t="str">
        <f>IF(AND(S78=3,T78=2)=TRUE,"X","")</f>
        <v/>
      </c>
      <c r="Z80" s="54" t="str">
        <f>IF(AND(S78=4,T78=2)=TRUE,"X","")</f>
        <v/>
      </c>
    </row>
    <row r="81" spans="1:26" ht="24" customHeight="1" x14ac:dyDescent="0.25">
      <c r="A81" s="109"/>
      <c r="B81" s="110"/>
      <c r="C81" s="111"/>
      <c r="D81" s="109"/>
      <c r="E81" s="110"/>
      <c r="F81" s="111"/>
      <c r="G81" s="100"/>
      <c r="H81" s="100"/>
      <c r="I81" s="100"/>
      <c r="J81" s="103"/>
      <c r="K81" s="23">
        <v>1</v>
      </c>
      <c r="L81" s="24" t="str">
        <f>IF(AND(H78=1,I78=1)=TRUE,"X","")</f>
        <v/>
      </c>
      <c r="M81" s="24" t="str">
        <f>IF(AND(H78=2,I78=1)=TRUE,"X","")</f>
        <v/>
      </c>
      <c r="N81" s="25" t="str">
        <f>IF(AND(H78=3,I78=1)=TRUE,"X","")</f>
        <v/>
      </c>
      <c r="O81" s="25" t="str">
        <f>IF(AND(H78=4,I78=1)=TRUE,"X","")</f>
        <v/>
      </c>
      <c r="P81" s="131"/>
      <c r="Q81" s="131"/>
      <c r="R81" s="132"/>
      <c r="S81" s="100"/>
      <c r="T81" s="100"/>
      <c r="U81" s="103"/>
      <c r="V81" s="23">
        <v>1</v>
      </c>
      <c r="W81" s="24" t="str">
        <f>IF(AND(S78=1,T78=1)=TRUE,"X","")</f>
        <v/>
      </c>
      <c r="X81" s="24" t="str">
        <f>IF(AND(S78=2,T78=1)=TRUE,"X","")</f>
        <v/>
      </c>
      <c r="Y81" s="25" t="str">
        <f>IF(AND(S78=3,T78=1)=TRUE,"X","")</f>
        <v/>
      </c>
      <c r="Z81" s="25" t="str">
        <f>IF(AND(S78=4,T78=1)=TRUE,"X","")</f>
        <v/>
      </c>
    </row>
    <row r="82" spans="1:26" ht="18.75" customHeight="1" x14ac:dyDescent="0.25">
      <c r="A82" s="109"/>
      <c r="B82" s="110"/>
      <c r="C82" s="111"/>
      <c r="D82" s="109"/>
      <c r="E82" s="110"/>
      <c r="F82" s="111"/>
      <c r="G82" s="123" t="s">
        <v>24</v>
      </c>
      <c r="H82" s="100"/>
      <c r="I82" s="100"/>
      <c r="J82" s="15"/>
      <c r="K82" s="27"/>
      <c r="L82" s="23">
        <v>1</v>
      </c>
      <c r="M82" s="23">
        <v>2</v>
      </c>
      <c r="N82" s="23">
        <v>3</v>
      </c>
      <c r="O82" s="13">
        <v>4</v>
      </c>
      <c r="P82" s="131"/>
      <c r="Q82" s="131"/>
      <c r="R82" s="132"/>
      <c r="S82" s="100"/>
      <c r="T82" s="100"/>
      <c r="U82" s="15"/>
      <c r="V82" s="27"/>
      <c r="W82" s="23">
        <v>1</v>
      </c>
      <c r="X82" s="23">
        <v>2</v>
      </c>
      <c r="Y82" s="23">
        <v>3</v>
      </c>
      <c r="Z82" s="13">
        <v>4</v>
      </c>
    </row>
    <row r="83" spans="1:26" ht="19.5" customHeight="1" x14ac:dyDescent="0.25">
      <c r="A83" s="109"/>
      <c r="B83" s="110"/>
      <c r="C83" s="111"/>
      <c r="D83" s="109"/>
      <c r="E83" s="110"/>
      <c r="F83" s="111"/>
      <c r="G83" s="100"/>
      <c r="H83" s="100"/>
      <c r="I83" s="100"/>
      <c r="J83" s="22"/>
      <c r="K83" s="14"/>
      <c r="L83" s="115" t="s">
        <v>19</v>
      </c>
      <c r="M83" s="116"/>
      <c r="N83" s="116"/>
      <c r="O83" s="117"/>
      <c r="P83" s="131"/>
      <c r="Q83" s="131"/>
      <c r="R83" s="132"/>
      <c r="S83" s="100"/>
      <c r="T83" s="100"/>
      <c r="U83" s="22"/>
      <c r="V83" s="14"/>
      <c r="W83" s="115" t="s">
        <v>19</v>
      </c>
      <c r="X83" s="116"/>
      <c r="Y83" s="116"/>
      <c r="Z83" s="117"/>
    </row>
    <row r="84" spans="1:26" ht="6.75" customHeight="1" x14ac:dyDescent="0.25">
      <c r="A84" s="118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20"/>
    </row>
    <row r="85" spans="1:26" ht="21" customHeight="1" x14ac:dyDescent="0.25">
      <c r="A85" s="121" t="s">
        <v>112</v>
      </c>
      <c r="B85" s="92"/>
      <c r="C85" s="108"/>
      <c r="D85" s="121" t="s">
        <v>115</v>
      </c>
      <c r="E85" s="92"/>
      <c r="F85" s="108"/>
      <c r="G85" s="99" t="s">
        <v>22</v>
      </c>
      <c r="H85" s="99">
        <v>2</v>
      </c>
      <c r="I85" s="99">
        <v>2</v>
      </c>
      <c r="J85" s="102" t="s">
        <v>18</v>
      </c>
      <c r="K85" s="23">
        <v>4</v>
      </c>
      <c r="L85" s="53" t="str">
        <f>IF(AND(H85=1, I85=4),"X","")</f>
        <v/>
      </c>
      <c r="M85" s="26" t="str">
        <f>IF(AND(H85=2, I85=4),"X","")</f>
        <v/>
      </c>
      <c r="N85" s="26" t="str">
        <f>IF(AND(H85=3,I85=4)=TRUE,"X","")</f>
        <v/>
      </c>
      <c r="O85" s="26" t="str">
        <f>IF(AND(H85=4,I85=4)=TRUE,"X","")</f>
        <v/>
      </c>
      <c r="P85" s="122" t="s">
        <v>116</v>
      </c>
      <c r="Q85" s="93"/>
      <c r="R85" s="94"/>
      <c r="S85" s="99">
        <v>2</v>
      </c>
      <c r="T85" s="99">
        <v>2</v>
      </c>
      <c r="U85" s="102" t="s">
        <v>18</v>
      </c>
      <c r="V85" s="23">
        <v>4</v>
      </c>
      <c r="W85" s="53" t="str">
        <f>IF(AND(S85=1, T85=4),"X","")</f>
        <v/>
      </c>
      <c r="X85" s="26" t="str">
        <f>IF(AND(S85=2, T85=4),"X","")</f>
        <v/>
      </c>
      <c r="Y85" s="26" t="str">
        <f>IF(AND(S85=3,T85=4)=TRUE,"X","")</f>
        <v/>
      </c>
      <c r="Z85" s="26" t="str">
        <f>IF(AND(S85=4,T85=4)=TRUE,"X","")</f>
        <v/>
      </c>
    </row>
    <row r="86" spans="1:26" ht="21" customHeight="1" x14ac:dyDescent="0.25">
      <c r="A86" s="109"/>
      <c r="B86" s="110"/>
      <c r="C86" s="111"/>
      <c r="D86" s="109"/>
      <c r="E86" s="110"/>
      <c r="F86" s="111"/>
      <c r="G86" s="100"/>
      <c r="H86" s="100"/>
      <c r="I86" s="100"/>
      <c r="J86" s="103"/>
      <c r="K86" s="23">
        <v>3</v>
      </c>
      <c r="L86" s="54" t="str">
        <f>IF(AND(H85=1,I85=3)=TRUE,"X","")</f>
        <v/>
      </c>
      <c r="M86" s="54" t="str">
        <f>IF(AND(H85=2,I85=3)=TRUE,"X","")</f>
        <v/>
      </c>
      <c r="N86" s="26" t="str">
        <f>IF(AND(H85=3,I85=3)=TRUE,"X","")</f>
        <v/>
      </c>
      <c r="O86" s="26" t="str">
        <f>IF(AND(H85=4,I85=3)=TRUE,"X","")</f>
        <v/>
      </c>
      <c r="P86" s="95"/>
      <c r="Q86" s="95"/>
      <c r="R86" s="96"/>
      <c r="S86" s="100"/>
      <c r="T86" s="100"/>
      <c r="U86" s="103"/>
      <c r="V86" s="23">
        <v>3</v>
      </c>
      <c r="W86" s="54" t="str">
        <f>IF(AND(S85=1,T85=3)=TRUE,"X","")</f>
        <v/>
      </c>
      <c r="X86" s="54" t="str">
        <f>IF(AND(S85=2,T85=3)=TRUE,"X","")</f>
        <v/>
      </c>
      <c r="Y86" s="26" t="str">
        <f>IF(AND(S85=3,T85=3)=TRUE,"X","")</f>
        <v/>
      </c>
      <c r="Z86" s="26" t="str">
        <f>IF(AND(S85=4,T85=3)=TRUE,"X","")</f>
        <v/>
      </c>
    </row>
    <row r="87" spans="1:26" ht="21.75" customHeight="1" x14ac:dyDescent="0.25">
      <c r="A87" s="109"/>
      <c r="B87" s="110"/>
      <c r="C87" s="111"/>
      <c r="D87" s="109"/>
      <c r="E87" s="110"/>
      <c r="F87" s="111"/>
      <c r="G87" s="99"/>
      <c r="H87" s="100"/>
      <c r="I87" s="100"/>
      <c r="J87" s="103"/>
      <c r="K87" s="23">
        <v>2</v>
      </c>
      <c r="L87" s="25" t="str">
        <f>IF(AND(H85=1,I85=2)=TRUE,"X","")</f>
        <v/>
      </c>
      <c r="M87" s="25" t="str">
        <f>IF(AND(H85=2,I85=2)=TRUE,"X","")</f>
        <v>X</v>
      </c>
      <c r="N87" s="54" t="str">
        <f>IF(AND(H85=3,I85=2)=TRUE,"X","")</f>
        <v/>
      </c>
      <c r="O87" s="54" t="str">
        <f>IF(AND(H85=4,I85=2)=TRUE,"X","")</f>
        <v/>
      </c>
      <c r="P87" s="95"/>
      <c r="Q87" s="95"/>
      <c r="R87" s="96"/>
      <c r="S87" s="100"/>
      <c r="T87" s="100"/>
      <c r="U87" s="103"/>
      <c r="V87" s="23">
        <v>2</v>
      </c>
      <c r="W87" s="25" t="str">
        <f>IF(AND(S85=1,T85=2)=TRUE,"X","")</f>
        <v/>
      </c>
      <c r="X87" s="25" t="str">
        <f>IF(AND(S85=2,T85=2)=TRUE,"X","")</f>
        <v>X</v>
      </c>
      <c r="Y87" s="54" t="str">
        <f>IF(AND(S85=3,T85=2)=TRUE,"X","")</f>
        <v/>
      </c>
      <c r="Z87" s="54" t="str">
        <f>IF(AND(S85=4,T85=2)=TRUE,"X","")</f>
        <v/>
      </c>
    </row>
    <row r="88" spans="1:26" ht="24" customHeight="1" x14ac:dyDescent="0.25">
      <c r="A88" s="109"/>
      <c r="B88" s="110"/>
      <c r="C88" s="111"/>
      <c r="D88" s="109"/>
      <c r="E88" s="110"/>
      <c r="F88" s="111"/>
      <c r="G88" s="100"/>
      <c r="H88" s="100"/>
      <c r="I88" s="100"/>
      <c r="J88" s="103"/>
      <c r="K88" s="23">
        <v>1</v>
      </c>
      <c r="L88" s="24" t="str">
        <f>IF(AND(H85=1,I85=1)=TRUE,"X","")</f>
        <v/>
      </c>
      <c r="M88" s="24" t="str">
        <f>IF(AND(H85=2,I85=1)=TRUE,"X","")</f>
        <v/>
      </c>
      <c r="N88" s="25" t="str">
        <f>IF(AND(H85=3,I85=1)=TRUE,"X","")</f>
        <v/>
      </c>
      <c r="O88" s="25" t="str">
        <f>IF(AND(H85=4,I85=1)=TRUE,"X","")</f>
        <v/>
      </c>
      <c r="P88" s="95"/>
      <c r="Q88" s="95"/>
      <c r="R88" s="96"/>
      <c r="S88" s="100"/>
      <c r="T88" s="100"/>
      <c r="U88" s="103"/>
      <c r="V88" s="23">
        <v>1</v>
      </c>
      <c r="W88" s="24" t="str">
        <f>IF(AND(S85=1,T85=1)=TRUE,"X","")</f>
        <v/>
      </c>
      <c r="X88" s="24" t="str">
        <f>IF(AND(S85=2,T85=1)=TRUE,"X","")</f>
        <v/>
      </c>
      <c r="Y88" s="25" t="str">
        <f>IF(AND(S85=3,T85=1)=TRUE,"X","")</f>
        <v/>
      </c>
      <c r="Z88" s="25" t="str">
        <f>IF(AND(S85=4,T85=1)=TRUE,"X","")</f>
        <v/>
      </c>
    </row>
    <row r="89" spans="1:26" ht="18.75" customHeight="1" x14ac:dyDescent="0.25">
      <c r="A89" s="109"/>
      <c r="B89" s="110"/>
      <c r="C89" s="111"/>
      <c r="D89" s="109"/>
      <c r="E89" s="110"/>
      <c r="F89" s="111"/>
      <c r="G89" s="99"/>
      <c r="H89" s="100"/>
      <c r="I89" s="100"/>
      <c r="J89" s="15"/>
      <c r="K89" s="27"/>
      <c r="L89" s="23">
        <v>1</v>
      </c>
      <c r="M89" s="23">
        <v>2</v>
      </c>
      <c r="N89" s="23">
        <v>3</v>
      </c>
      <c r="O89" s="13">
        <v>4</v>
      </c>
      <c r="P89" s="95"/>
      <c r="Q89" s="95"/>
      <c r="R89" s="96"/>
      <c r="S89" s="100"/>
      <c r="T89" s="100"/>
      <c r="U89" s="15"/>
      <c r="V89" s="27"/>
      <c r="W89" s="23">
        <v>1</v>
      </c>
      <c r="X89" s="23">
        <v>2</v>
      </c>
      <c r="Y89" s="23">
        <v>3</v>
      </c>
      <c r="Z89" s="13">
        <v>4</v>
      </c>
    </row>
    <row r="90" spans="1:26" ht="19.5" customHeight="1" x14ac:dyDescent="0.25">
      <c r="A90" s="109"/>
      <c r="B90" s="110"/>
      <c r="C90" s="111"/>
      <c r="D90" s="109"/>
      <c r="E90" s="110"/>
      <c r="F90" s="111"/>
      <c r="G90" s="100"/>
      <c r="H90" s="100"/>
      <c r="I90" s="100"/>
      <c r="J90" s="22"/>
      <c r="K90" s="14"/>
      <c r="L90" s="115" t="s">
        <v>19</v>
      </c>
      <c r="M90" s="116"/>
      <c r="N90" s="116"/>
      <c r="O90" s="117"/>
      <c r="P90" s="95"/>
      <c r="Q90" s="95"/>
      <c r="R90" s="96"/>
      <c r="S90" s="100"/>
      <c r="T90" s="100"/>
      <c r="U90" s="22"/>
      <c r="V90" s="14"/>
      <c r="W90" s="115" t="s">
        <v>19</v>
      </c>
      <c r="X90" s="116"/>
      <c r="Y90" s="116"/>
      <c r="Z90" s="117"/>
    </row>
    <row r="91" spans="1:26" ht="6.75" customHeight="1" x14ac:dyDescent="0.25">
      <c r="A91" s="118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20"/>
    </row>
    <row r="92" spans="1:26" ht="21" customHeight="1" x14ac:dyDescent="0.25">
      <c r="A92" s="121" t="s">
        <v>118</v>
      </c>
      <c r="B92" s="92"/>
      <c r="C92" s="108"/>
      <c r="D92" s="121" t="s">
        <v>119</v>
      </c>
      <c r="E92" s="92"/>
      <c r="F92" s="108"/>
      <c r="G92" s="99" t="s">
        <v>22</v>
      </c>
      <c r="H92" s="99">
        <v>1</v>
      </c>
      <c r="I92" s="99">
        <v>2</v>
      </c>
      <c r="J92" s="102" t="s">
        <v>18</v>
      </c>
      <c r="K92" s="23">
        <v>4</v>
      </c>
      <c r="L92" s="53" t="str">
        <f>IF(AND(H92=1, I92=4),"X","")</f>
        <v/>
      </c>
      <c r="M92" s="26" t="str">
        <f>IF(AND(H92=2, I92=4),"X","")</f>
        <v/>
      </c>
      <c r="N92" s="26" t="str">
        <f>IF(AND(H92=3,I92=4)=TRUE,"X","")</f>
        <v/>
      </c>
      <c r="O92" s="26" t="str">
        <f>IF(AND(H92=4,I92=4)=TRUE,"X","")</f>
        <v/>
      </c>
      <c r="P92" s="122" t="s">
        <v>120</v>
      </c>
      <c r="Q92" s="93"/>
      <c r="R92" s="94"/>
      <c r="S92" s="99">
        <v>1</v>
      </c>
      <c r="T92" s="99">
        <v>2</v>
      </c>
      <c r="U92" s="102" t="s">
        <v>18</v>
      </c>
      <c r="V92" s="23">
        <v>4</v>
      </c>
      <c r="W92" s="53" t="str">
        <f>IF(AND(S92=1, T92=4),"X","")</f>
        <v/>
      </c>
      <c r="X92" s="26" t="str">
        <f>IF(AND(S92=2, T92=4),"X","")</f>
        <v/>
      </c>
      <c r="Y92" s="26" t="str">
        <f>IF(AND(S92=3,T92=4)=TRUE,"X","")</f>
        <v/>
      </c>
      <c r="Z92" s="26" t="str">
        <f>IF(AND(S92=4,T92=4)=TRUE,"X","")</f>
        <v/>
      </c>
    </row>
    <row r="93" spans="1:26" ht="21" customHeight="1" x14ac:dyDescent="0.25">
      <c r="A93" s="109"/>
      <c r="B93" s="110"/>
      <c r="C93" s="111"/>
      <c r="D93" s="109"/>
      <c r="E93" s="110"/>
      <c r="F93" s="111"/>
      <c r="G93" s="100"/>
      <c r="H93" s="100"/>
      <c r="I93" s="100"/>
      <c r="J93" s="103"/>
      <c r="K93" s="23">
        <v>3</v>
      </c>
      <c r="L93" s="54" t="str">
        <f>IF(AND(H92=1,I92=3)=TRUE,"X","")</f>
        <v/>
      </c>
      <c r="M93" s="54" t="str">
        <f>IF(AND(H92=2,I92=3)=TRUE,"X","")</f>
        <v/>
      </c>
      <c r="N93" s="26" t="str">
        <f>IF(AND(H92=3,I92=3)=TRUE,"X","")</f>
        <v/>
      </c>
      <c r="O93" s="26" t="str">
        <f>IF(AND(H92=4,I92=3)=TRUE,"X","")</f>
        <v/>
      </c>
      <c r="P93" s="95"/>
      <c r="Q93" s="95"/>
      <c r="R93" s="96"/>
      <c r="S93" s="100"/>
      <c r="T93" s="100"/>
      <c r="U93" s="103"/>
      <c r="V93" s="23">
        <v>3</v>
      </c>
      <c r="W93" s="54" t="str">
        <f>IF(AND(S92=1,T92=3)=TRUE,"X","")</f>
        <v/>
      </c>
      <c r="X93" s="54" t="str">
        <f>IF(AND(S92=2,T92=3)=TRUE,"X","")</f>
        <v/>
      </c>
      <c r="Y93" s="26" t="str">
        <f>IF(AND(S92=3,T92=3)=TRUE,"X","")</f>
        <v/>
      </c>
      <c r="Z93" s="26" t="str">
        <f>IF(AND(S92=4,T92=3)=TRUE,"X","")</f>
        <v/>
      </c>
    </row>
    <row r="94" spans="1:26" ht="21.75" customHeight="1" x14ac:dyDescent="0.25">
      <c r="A94" s="109"/>
      <c r="B94" s="110"/>
      <c r="C94" s="111"/>
      <c r="D94" s="109"/>
      <c r="E94" s="110"/>
      <c r="F94" s="111"/>
      <c r="G94" s="99" t="s">
        <v>23</v>
      </c>
      <c r="H94" s="100"/>
      <c r="I94" s="100"/>
      <c r="J94" s="103"/>
      <c r="K94" s="23">
        <v>2</v>
      </c>
      <c r="L94" s="25" t="str">
        <f>IF(AND(H92=1,I92=2)=TRUE,"X","")</f>
        <v>X</v>
      </c>
      <c r="M94" s="25" t="str">
        <f>IF(AND(H92=2,I92=2)=TRUE,"X","")</f>
        <v/>
      </c>
      <c r="N94" s="54" t="str">
        <f>IF(AND(H92=3,I92=2)=TRUE,"X","")</f>
        <v/>
      </c>
      <c r="O94" s="54" t="str">
        <f>IF(AND(H92=4,I92=2)=TRUE,"X","")</f>
        <v/>
      </c>
      <c r="P94" s="95"/>
      <c r="Q94" s="95"/>
      <c r="R94" s="96"/>
      <c r="S94" s="100"/>
      <c r="T94" s="100"/>
      <c r="U94" s="103"/>
      <c r="V94" s="23">
        <v>2</v>
      </c>
      <c r="W94" s="25" t="str">
        <f>IF(AND(S92=1,T92=2)=TRUE,"X","")</f>
        <v>X</v>
      </c>
      <c r="X94" s="25" t="str">
        <f>IF(AND(S92=2,T92=2)=TRUE,"X","")</f>
        <v/>
      </c>
      <c r="Y94" s="54" t="str">
        <f>IF(AND(S92=3,T92=2)=TRUE,"X","")</f>
        <v/>
      </c>
      <c r="Z94" s="54" t="str">
        <f>IF(AND(S92=4,T92=2)=TRUE,"X","")</f>
        <v/>
      </c>
    </row>
    <row r="95" spans="1:26" ht="20.25" customHeight="1" x14ac:dyDescent="0.25">
      <c r="A95" s="109"/>
      <c r="B95" s="110"/>
      <c r="C95" s="111"/>
      <c r="D95" s="109"/>
      <c r="E95" s="110"/>
      <c r="F95" s="111"/>
      <c r="G95" s="100"/>
      <c r="H95" s="100"/>
      <c r="I95" s="100"/>
      <c r="J95" s="103"/>
      <c r="K95" s="23">
        <v>1</v>
      </c>
      <c r="L95" s="24" t="str">
        <f>IF(AND(H92=1,I92=1)=TRUE,"X","")</f>
        <v/>
      </c>
      <c r="M95" s="24" t="str">
        <f>IF(AND(H92=2,I92=1)=TRUE,"X","")</f>
        <v/>
      </c>
      <c r="N95" s="25" t="str">
        <f>IF(AND(H92=3,I92=1)=TRUE,"X","")</f>
        <v/>
      </c>
      <c r="O95" s="25" t="str">
        <f>IF(AND(H92=4,I92=1)=TRUE,"X","")</f>
        <v/>
      </c>
      <c r="P95" s="95"/>
      <c r="Q95" s="95"/>
      <c r="R95" s="96"/>
      <c r="S95" s="100"/>
      <c r="T95" s="100"/>
      <c r="U95" s="103"/>
      <c r="V95" s="23">
        <v>1</v>
      </c>
      <c r="W95" s="24" t="str">
        <f>IF(AND(S92=1,T92=1)=TRUE,"X","")</f>
        <v/>
      </c>
      <c r="X95" s="24" t="str">
        <f>IF(AND(S92=2,T92=1)=TRUE,"X","")</f>
        <v/>
      </c>
      <c r="Y95" s="25" t="str">
        <f>IF(AND(S92=3,T92=1)=TRUE,"X","")</f>
        <v/>
      </c>
      <c r="Z95" s="25" t="str">
        <f>IF(AND(S92=4,T92=1)=TRUE,"X","")</f>
        <v/>
      </c>
    </row>
    <row r="96" spans="1:26" ht="18.75" customHeight="1" x14ac:dyDescent="0.25">
      <c r="A96" s="109"/>
      <c r="B96" s="110"/>
      <c r="C96" s="111"/>
      <c r="D96" s="109"/>
      <c r="E96" s="110"/>
      <c r="F96" s="111"/>
      <c r="G96" s="99" t="s">
        <v>24</v>
      </c>
      <c r="H96" s="100"/>
      <c r="I96" s="100"/>
      <c r="J96" s="15"/>
      <c r="K96" s="27"/>
      <c r="L96" s="23">
        <v>1</v>
      </c>
      <c r="M96" s="23">
        <v>2</v>
      </c>
      <c r="N96" s="23">
        <v>3</v>
      </c>
      <c r="O96" s="13">
        <v>4</v>
      </c>
      <c r="P96" s="95"/>
      <c r="Q96" s="95"/>
      <c r="R96" s="96"/>
      <c r="S96" s="100"/>
      <c r="T96" s="100"/>
      <c r="U96" s="15"/>
      <c r="V96" s="27"/>
      <c r="W96" s="23">
        <v>1</v>
      </c>
      <c r="X96" s="23">
        <v>2</v>
      </c>
      <c r="Y96" s="23">
        <v>3</v>
      </c>
      <c r="Z96" s="13">
        <v>4</v>
      </c>
    </row>
    <row r="97" spans="1:26" ht="19.5" customHeight="1" x14ac:dyDescent="0.25">
      <c r="A97" s="109"/>
      <c r="B97" s="110"/>
      <c r="C97" s="111"/>
      <c r="D97" s="109"/>
      <c r="E97" s="110"/>
      <c r="F97" s="111"/>
      <c r="G97" s="100"/>
      <c r="H97" s="100"/>
      <c r="I97" s="100"/>
      <c r="J97" s="22"/>
      <c r="K97" s="14"/>
      <c r="L97" s="115" t="s">
        <v>19</v>
      </c>
      <c r="M97" s="116"/>
      <c r="N97" s="116"/>
      <c r="O97" s="117"/>
      <c r="P97" s="95"/>
      <c r="Q97" s="95"/>
      <c r="R97" s="96"/>
      <c r="S97" s="100"/>
      <c r="T97" s="100"/>
      <c r="U97" s="22"/>
      <c r="V97" s="14"/>
      <c r="W97" s="115" t="s">
        <v>19</v>
      </c>
      <c r="X97" s="116"/>
      <c r="Y97" s="116"/>
      <c r="Z97" s="117"/>
    </row>
    <row r="98" spans="1:26" ht="6.75" customHeight="1" x14ac:dyDescent="0.25">
      <c r="A98" s="118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20"/>
    </row>
    <row r="99" spans="1:26" ht="21" customHeight="1" x14ac:dyDescent="0.25">
      <c r="A99" s="121" t="s">
        <v>118</v>
      </c>
      <c r="B99" s="92"/>
      <c r="C99" s="108"/>
      <c r="D99" s="121" t="s">
        <v>121</v>
      </c>
      <c r="E99" s="92"/>
      <c r="F99" s="108"/>
      <c r="G99" s="99" t="s">
        <v>22</v>
      </c>
      <c r="H99" s="99">
        <v>2</v>
      </c>
      <c r="I99" s="99">
        <v>1</v>
      </c>
      <c r="J99" s="102" t="s">
        <v>18</v>
      </c>
      <c r="K99" s="23">
        <v>4</v>
      </c>
      <c r="L99" s="53" t="str">
        <f>IF(AND(H99=1, I99=4),"X","")</f>
        <v/>
      </c>
      <c r="M99" s="26" t="str">
        <f>IF(AND(H99=2, I99=4),"X","")</f>
        <v/>
      </c>
      <c r="N99" s="26" t="str">
        <f>IF(AND(H99=3,I99=4)=TRUE,"X","")</f>
        <v/>
      </c>
      <c r="O99" s="26" t="str">
        <f>IF(AND(H99=4,I99=4)=TRUE,"X","")</f>
        <v/>
      </c>
      <c r="P99" s="122" t="s">
        <v>122</v>
      </c>
      <c r="Q99" s="93"/>
      <c r="R99" s="94"/>
      <c r="S99" s="99">
        <v>1</v>
      </c>
      <c r="T99" s="99">
        <v>1</v>
      </c>
      <c r="U99" s="102" t="s">
        <v>18</v>
      </c>
      <c r="V99" s="23">
        <v>4</v>
      </c>
      <c r="W99" s="53" t="str">
        <f>IF(AND(S99=1, T99=4),"X","")</f>
        <v/>
      </c>
      <c r="X99" s="26" t="str">
        <f>IF(AND(S99=2, T99=4),"X","")</f>
        <v/>
      </c>
      <c r="Y99" s="26" t="str">
        <f>IF(AND(S99=3,T99=4)=TRUE,"X","")</f>
        <v/>
      </c>
      <c r="Z99" s="26" t="str">
        <f>IF(AND(S99=4,T99=4)=TRUE,"X","")</f>
        <v/>
      </c>
    </row>
    <row r="100" spans="1:26" ht="21" customHeight="1" x14ac:dyDescent="0.25">
      <c r="A100" s="109"/>
      <c r="B100" s="110"/>
      <c r="C100" s="111"/>
      <c r="D100" s="109"/>
      <c r="E100" s="110"/>
      <c r="F100" s="111"/>
      <c r="G100" s="100"/>
      <c r="H100" s="100"/>
      <c r="I100" s="100"/>
      <c r="J100" s="103"/>
      <c r="K100" s="23">
        <v>3</v>
      </c>
      <c r="L100" s="54" t="str">
        <f>IF(AND(H99=1,I99=3)=TRUE,"X","")</f>
        <v/>
      </c>
      <c r="M100" s="54" t="str">
        <f>IF(AND(H99=2,I99=3)=TRUE,"X","")</f>
        <v/>
      </c>
      <c r="N100" s="26" t="str">
        <f>IF(AND(H99=3,I99=3)=TRUE,"X","")</f>
        <v/>
      </c>
      <c r="O100" s="26" t="str">
        <f>IF(AND(H99=4,I99=3)=TRUE,"X","")</f>
        <v/>
      </c>
      <c r="P100" s="95"/>
      <c r="Q100" s="95"/>
      <c r="R100" s="96"/>
      <c r="S100" s="100"/>
      <c r="T100" s="100"/>
      <c r="U100" s="103"/>
      <c r="V100" s="23">
        <v>3</v>
      </c>
      <c r="W100" s="54" t="str">
        <f>IF(AND(S99=1,T99=3)=TRUE,"X","")</f>
        <v/>
      </c>
      <c r="X100" s="54" t="str">
        <f>IF(AND(S99=2,T99=3)=TRUE,"X","")</f>
        <v/>
      </c>
      <c r="Y100" s="26" t="str">
        <f>IF(AND(S99=3,T99=3)=TRUE,"X","")</f>
        <v/>
      </c>
      <c r="Z100" s="26" t="str">
        <f>IF(AND(S99=4,T99=3)=TRUE,"X","")</f>
        <v/>
      </c>
    </row>
    <row r="101" spans="1:26" ht="21.75" customHeight="1" x14ac:dyDescent="0.25">
      <c r="A101" s="109"/>
      <c r="B101" s="110"/>
      <c r="C101" s="111"/>
      <c r="D101" s="109"/>
      <c r="E101" s="110"/>
      <c r="F101" s="111"/>
      <c r="G101" s="99" t="s">
        <v>23</v>
      </c>
      <c r="H101" s="100"/>
      <c r="I101" s="100"/>
      <c r="J101" s="103"/>
      <c r="K101" s="23">
        <v>2</v>
      </c>
      <c r="L101" s="25" t="str">
        <f>IF(AND(H99=1,I99=2)=TRUE,"X","")</f>
        <v/>
      </c>
      <c r="M101" s="25" t="str">
        <f>IF(AND(H99=2,I99=2)=TRUE,"X","")</f>
        <v/>
      </c>
      <c r="N101" s="54" t="str">
        <f>IF(AND(H99=3,I99=2)=TRUE,"X","")</f>
        <v/>
      </c>
      <c r="O101" s="54" t="str">
        <f>IF(AND(H99=4,I99=2)=TRUE,"X","")</f>
        <v/>
      </c>
      <c r="P101" s="95"/>
      <c r="Q101" s="95"/>
      <c r="R101" s="96"/>
      <c r="S101" s="100"/>
      <c r="T101" s="100"/>
      <c r="U101" s="103"/>
      <c r="V101" s="23">
        <v>2</v>
      </c>
      <c r="W101" s="25" t="str">
        <f>IF(AND(S99=1,T99=2)=TRUE,"X","")</f>
        <v/>
      </c>
      <c r="X101" s="25" t="str">
        <f>IF(AND(S99=2,T99=2)=TRUE,"X","")</f>
        <v/>
      </c>
      <c r="Y101" s="54" t="str">
        <f>IF(AND(S99=3,T99=2)=TRUE,"X","")</f>
        <v/>
      </c>
      <c r="Z101" s="54" t="str">
        <f>IF(AND(S99=4,T99=2)=TRUE,"X","")</f>
        <v/>
      </c>
    </row>
    <row r="102" spans="1:26" ht="24" customHeight="1" x14ac:dyDescent="0.25">
      <c r="A102" s="109"/>
      <c r="B102" s="110"/>
      <c r="C102" s="111"/>
      <c r="D102" s="109"/>
      <c r="E102" s="110"/>
      <c r="F102" s="111"/>
      <c r="G102" s="100"/>
      <c r="H102" s="100"/>
      <c r="I102" s="100"/>
      <c r="J102" s="103"/>
      <c r="K102" s="23">
        <v>1</v>
      </c>
      <c r="L102" s="24" t="str">
        <f>IF(AND(H99=1,I99=1)=TRUE,"X","")</f>
        <v/>
      </c>
      <c r="M102" s="24" t="str">
        <f>IF(AND(H99=2,I99=1)=TRUE,"X","")</f>
        <v>X</v>
      </c>
      <c r="N102" s="25" t="str">
        <f>IF(AND(H99=3,I99=1)=TRUE,"X","")</f>
        <v/>
      </c>
      <c r="O102" s="25" t="str">
        <f>IF(AND(H99=4,I99=1)=TRUE,"X","")</f>
        <v/>
      </c>
      <c r="P102" s="95"/>
      <c r="Q102" s="95"/>
      <c r="R102" s="96"/>
      <c r="S102" s="100"/>
      <c r="T102" s="100"/>
      <c r="U102" s="103"/>
      <c r="V102" s="23">
        <v>1</v>
      </c>
      <c r="W102" s="24" t="str">
        <f>IF(AND(S99=1,T99=1)=TRUE,"X","")</f>
        <v>X</v>
      </c>
      <c r="X102" s="24" t="str">
        <f>IF(AND(S99=2,T99=1)=TRUE,"X","")</f>
        <v/>
      </c>
      <c r="Y102" s="25" t="str">
        <f>IF(AND(S99=3,T99=1)=TRUE,"X","")</f>
        <v/>
      </c>
      <c r="Z102" s="25" t="str">
        <f>IF(AND(S99=4,T99=1)=TRUE,"X","")</f>
        <v/>
      </c>
    </row>
    <row r="103" spans="1:26" ht="18.75" customHeight="1" x14ac:dyDescent="0.25">
      <c r="A103" s="109"/>
      <c r="B103" s="110"/>
      <c r="C103" s="111"/>
      <c r="D103" s="109"/>
      <c r="E103" s="110"/>
      <c r="F103" s="111"/>
      <c r="G103" s="99"/>
      <c r="H103" s="100"/>
      <c r="I103" s="100"/>
      <c r="J103" s="15"/>
      <c r="K103" s="27"/>
      <c r="L103" s="23">
        <v>1</v>
      </c>
      <c r="M103" s="23">
        <v>2</v>
      </c>
      <c r="N103" s="23">
        <v>3</v>
      </c>
      <c r="O103" s="13">
        <v>4</v>
      </c>
      <c r="P103" s="95"/>
      <c r="Q103" s="95"/>
      <c r="R103" s="96"/>
      <c r="S103" s="100"/>
      <c r="T103" s="100"/>
      <c r="U103" s="15"/>
      <c r="V103" s="27"/>
      <c r="W103" s="23">
        <v>1</v>
      </c>
      <c r="X103" s="23">
        <v>2</v>
      </c>
      <c r="Y103" s="23">
        <v>3</v>
      </c>
      <c r="Z103" s="13">
        <v>4</v>
      </c>
    </row>
    <row r="104" spans="1:26" ht="19.5" customHeight="1" x14ac:dyDescent="0.25">
      <c r="A104" s="109"/>
      <c r="B104" s="110"/>
      <c r="C104" s="111"/>
      <c r="D104" s="109"/>
      <c r="E104" s="110"/>
      <c r="F104" s="111"/>
      <c r="G104" s="100"/>
      <c r="H104" s="100"/>
      <c r="I104" s="100"/>
      <c r="J104" s="22"/>
      <c r="K104" s="14"/>
      <c r="L104" s="115" t="s">
        <v>19</v>
      </c>
      <c r="M104" s="116"/>
      <c r="N104" s="116"/>
      <c r="O104" s="117"/>
      <c r="P104" s="95"/>
      <c r="Q104" s="95"/>
      <c r="R104" s="96"/>
      <c r="S104" s="100"/>
      <c r="T104" s="100"/>
      <c r="U104" s="22"/>
      <c r="V104" s="14"/>
      <c r="W104" s="115" t="s">
        <v>19</v>
      </c>
      <c r="X104" s="116"/>
      <c r="Y104" s="116"/>
      <c r="Z104" s="117"/>
    </row>
    <row r="105" spans="1:26" ht="6.75" customHeight="1" x14ac:dyDescent="0.25">
      <c r="A105" s="118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20"/>
    </row>
    <row r="106" spans="1:26" ht="21" customHeight="1" x14ac:dyDescent="0.25">
      <c r="A106" s="121" t="s">
        <v>118</v>
      </c>
      <c r="B106" s="92"/>
      <c r="C106" s="108"/>
      <c r="D106" s="121" t="s">
        <v>123</v>
      </c>
      <c r="E106" s="92"/>
      <c r="F106" s="108"/>
      <c r="G106" s="99" t="s">
        <v>23</v>
      </c>
      <c r="H106" s="99">
        <v>3</v>
      </c>
      <c r="I106" s="99">
        <v>3</v>
      </c>
      <c r="J106" s="102" t="s">
        <v>18</v>
      </c>
      <c r="K106" s="23">
        <v>4</v>
      </c>
      <c r="L106" s="53" t="str">
        <f>IF(AND(H106=1, I106=4),"X","")</f>
        <v/>
      </c>
      <c r="M106" s="26" t="str">
        <f>IF(AND(H106=2, I106=4),"X","")</f>
        <v/>
      </c>
      <c r="N106" s="26" t="str">
        <f>IF(AND(H106=3,I106=4)=TRUE,"X","")</f>
        <v/>
      </c>
      <c r="O106" s="26" t="str">
        <f>IF(AND(H106=4,I106=4)=TRUE,"X","")</f>
        <v/>
      </c>
      <c r="P106" s="122" t="s">
        <v>124</v>
      </c>
      <c r="Q106" s="93"/>
      <c r="R106" s="94"/>
      <c r="S106" s="99">
        <v>1</v>
      </c>
      <c r="T106" s="99">
        <v>1</v>
      </c>
      <c r="U106" s="102" t="s">
        <v>18</v>
      </c>
      <c r="V106" s="23">
        <v>4</v>
      </c>
      <c r="W106" s="53" t="str">
        <f>IF(AND(S106=1, T106=4),"X","")</f>
        <v/>
      </c>
      <c r="X106" s="26" t="str">
        <f>IF(AND(S106=2, T106=4),"X","")</f>
        <v/>
      </c>
      <c r="Y106" s="26" t="str">
        <f>IF(AND(S106=3,T106=4)=TRUE,"X","")</f>
        <v/>
      </c>
      <c r="Z106" s="26" t="str">
        <f>IF(AND(S106=4,T106=4)=TRUE,"X","")</f>
        <v/>
      </c>
    </row>
    <row r="107" spans="1:26" ht="21" customHeight="1" x14ac:dyDescent="0.25">
      <c r="A107" s="109"/>
      <c r="B107" s="110"/>
      <c r="C107" s="111"/>
      <c r="D107" s="109"/>
      <c r="E107" s="110"/>
      <c r="F107" s="111"/>
      <c r="G107" s="100"/>
      <c r="H107" s="100"/>
      <c r="I107" s="100"/>
      <c r="J107" s="103"/>
      <c r="K107" s="23">
        <v>3</v>
      </c>
      <c r="L107" s="54" t="str">
        <f>IF(AND(H106=1,I106=3)=TRUE,"X","")</f>
        <v/>
      </c>
      <c r="M107" s="54" t="str">
        <f>IF(AND(H106=2,I106=3)=TRUE,"X","")</f>
        <v/>
      </c>
      <c r="N107" s="26" t="str">
        <f>IF(AND(H106=3,I106=3)=TRUE,"X","")</f>
        <v>X</v>
      </c>
      <c r="O107" s="26" t="str">
        <f>IF(AND(H106=4,I106=3)=TRUE,"X","")</f>
        <v/>
      </c>
      <c r="P107" s="95"/>
      <c r="Q107" s="95"/>
      <c r="R107" s="96"/>
      <c r="S107" s="100"/>
      <c r="T107" s="100"/>
      <c r="U107" s="103"/>
      <c r="V107" s="23">
        <v>3</v>
      </c>
      <c r="W107" s="54" t="str">
        <f>IF(AND(S106=1,T106=3)=TRUE,"X","")</f>
        <v/>
      </c>
      <c r="X107" s="54" t="str">
        <f>IF(AND(S106=2,T106=3)=TRUE,"X","")</f>
        <v/>
      </c>
      <c r="Y107" s="26" t="str">
        <f>IF(AND(S106=3,T106=3)=TRUE,"X","")</f>
        <v/>
      </c>
      <c r="Z107" s="26" t="str">
        <f>IF(AND(S106=4,T106=3)=TRUE,"X","")</f>
        <v/>
      </c>
    </row>
    <row r="108" spans="1:26" ht="21.75" customHeight="1" x14ac:dyDescent="0.25">
      <c r="A108" s="109"/>
      <c r="B108" s="110"/>
      <c r="C108" s="111"/>
      <c r="D108" s="109"/>
      <c r="E108" s="110"/>
      <c r="F108" s="111"/>
      <c r="G108" s="99" t="s">
        <v>22</v>
      </c>
      <c r="H108" s="100"/>
      <c r="I108" s="100"/>
      <c r="J108" s="103"/>
      <c r="K108" s="23">
        <v>2</v>
      </c>
      <c r="L108" s="25" t="str">
        <f>IF(AND(H106=1,I106=2)=TRUE,"X","")</f>
        <v/>
      </c>
      <c r="M108" s="25" t="str">
        <f>IF(AND(H106=2,I106=2)=TRUE,"X","")</f>
        <v/>
      </c>
      <c r="N108" s="54" t="str">
        <f>IF(AND(H106=3,I106=2)=TRUE,"X","")</f>
        <v/>
      </c>
      <c r="O108" s="54" t="str">
        <f>IF(AND(H106=4,I106=2)=TRUE,"X","")</f>
        <v/>
      </c>
      <c r="P108" s="95"/>
      <c r="Q108" s="95"/>
      <c r="R108" s="96"/>
      <c r="S108" s="100"/>
      <c r="T108" s="100"/>
      <c r="U108" s="103"/>
      <c r="V108" s="23">
        <v>2</v>
      </c>
      <c r="W108" s="25" t="str">
        <f>IF(AND(S106=1,T106=2)=TRUE,"X","")</f>
        <v/>
      </c>
      <c r="X108" s="25" t="str">
        <f>IF(AND(S106=2,T106=2)=TRUE,"X","")</f>
        <v/>
      </c>
      <c r="Y108" s="54" t="str">
        <f>IF(AND(S106=3,T106=2)=TRUE,"X","")</f>
        <v/>
      </c>
      <c r="Z108" s="54" t="str">
        <f>IF(AND(S106=4,T106=2)=TRUE,"X","")</f>
        <v/>
      </c>
    </row>
    <row r="109" spans="1:26" ht="22.5" customHeight="1" x14ac:dyDescent="0.25">
      <c r="A109" s="109"/>
      <c r="B109" s="110"/>
      <c r="C109" s="111"/>
      <c r="D109" s="109"/>
      <c r="E109" s="110"/>
      <c r="F109" s="111"/>
      <c r="G109" s="100"/>
      <c r="H109" s="100"/>
      <c r="I109" s="100"/>
      <c r="J109" s="103"/>
      <c r="K109" s="23">
        <v>1</v>
      </c>
      <c r="L109" s="24" t="str">
        <f>IF(AND(H106=1,I106=1)=TRUE,"X","")</f>
        <v/>
      </c>
      <c r="M109" s="24" t="str">
        <f>IF(AND(H106=2,I106=1)=TRUE,"X","")</f>
        <v/>
      </c>
      <c r="N109" s="25" t="str">
        <f>IF(AND(H106=3,I106=1)=TRUE,"X","")</f>
        <v/>
      </c>
      <c r="O109" s="25" t="str">
        <f>IF(AND(H106=4,I106=1)=TRUE,"X","")</f>
        <v/>
      </c>
      <c r="P109" s="95"/>
      <c r="Q109" s="95"/>
      <c r="R109" s="96"/>
      <c r="S109" s="100"/>
      <c r="T109" s="100"/>
      <c r="U109" s="103"/>
      <c r="V109" s="23">
        <v>1</v>
      </c>
      <c r="W109" s="24" t="str">
        <f>IF(AND(S106=1,T106=1)=TRUE,"X","")</f>
        <v>X</v>
      </c>
      <c r="X109" s="24" t="str">
        <f>IF(AND(S106=2,T106=1)=TRUE,"X","")</f>
        <v/>
      </c>
      <c r="Y109" s="25" t="str">
        <f>IF(AND(S106=3,T106=1)=TRUE,"X","")</f>
        <v/>
      </c>
      <c r="Z109" s="25" t="str">
        <f>IF(AND(S106=4,T106=1)=TRUE,"X","")</f>
        <v/>
      </c>
    </row>
    <row r="110" spans="1:26" ht="18.75" customHeight="1" x14ac:dyDescent="0.25">
      <c r="A110" s="109"/>
      <c r="B110" s="110"/>
      <c r="C110" s="111"/>
      <c r="D110" s="109"/>
      <c r="E110" s="110"/>
      <c r="F110" s="111"/>
      <c r="G110" s="99"/>
      <c r="H110" s="100"/>
      <c r="I110" s="100"/>
      <c r="J110" s="15"/>
      <c r="K110" s="27"/>
      <c r="L110" s="23">
        <v>1</v>
      </c>
      <c r="M110" s="23">
        <v>2</v>
      </c>
      <c r="N110" s="23">
        <v>3</v>
      </c>
      <c r="O110" s="13">
        <v>4</v>
      </c>
      <c r="P110" s="95"/>
      <c r="Q110" s="95"/>
      <c r="R110" s="96"/>
      <c r="S110" s="100"/>
      <c r="T110" s="100"/>
      <c r="U110" s="15"/>
      <c r="V110" s="27"/>
      <c r="W110" s="23">
        <v>1</v>
      </c>
      <c r="X110" s="23">
        <v>2</v>
      </c>
      <c r="Y110" s="23">
        <v>3</v>
      </c>
      <c r="Z110" s="13">
        <v>4</v>
      </c>
    </row>
    <row r="111" spans="1:26" ht="19.5" customHeight="1" x14ac:dyDescent="0.25">
      <c r="A111" s="109"/>
      <c r="B111" s="110"/>
      <c r="C111" s="111"/>
      <c r="D111" s="109"/>
      <c r="E111" s="110"/>
      <c r="F111" s="111"/>
      <c r="G111" s="100"/>
      <c r="H111" s="100"/>
      <c r="I111" s="100"/>
      <c r="J111" s="22"/>
      <c r="K111" s="14"/>
      <c r="L111" s="115" t="s">
        <v>19</v>
      </c>
      <c r="M111" s="116"/>
      <c r="N111" s="116"/>
      <c r="O111" s="117"/>
      <c r="P111" s="95"/>
      <c r="Q111" s="95"/>
      <c r="R111" s="96"/>
      <c r="S111" s="100"/>
      <c r="T111" s="100"/>
      <c r="U111" s="22"/>
      <c r="V111" s="14"/>
      <c r="W111" s="115" t="s">
        <v>19</v>
      </c>
      <c r="X111" s="116"/>
      <c r="Y111" s="116"/>
      <c r="Z111" s="117"/>
    </row>
    <row r="112" spans="1:26" ht="6.75" customHeight="1" x14ac:dyDescent="0.25">
      <c r="A112" s="118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20"/>
    </row>
    <row r="113" spans="1:26" ht="21" customHeight="1" x14ac:dyDescent="0.25">
      <c r="A113" s="121" t="s">
        <v>125</v>
      </c>
      <c r="B113" s="92"/>
      <c r="C113" s="108"/>
      <c r="D113" s="121" t="s">
        <v>126</v>
      </c>
      <c r="E113" s="92"/>
      <c r="F113" s="108"/>
      <c r="G113" s="99" t="s">
        <v>22</v>
      </c>
      <c r="H113" s="99">
        <v>1</v>
      </c>
      <c r="I113" s="99">
        <v>1</v>
      </c>
      <c r="J113" s="102" t="s">
        <v>18</v>
      </c>
      <c r="K113" s="23">
        <v>4</v>
      </c>
      <c r="L113" s="53" t="str">
        <f>IF(AND(H113=1, I113=4),"X","")</f>
        <v/>
      </c>
      <c r="M113" s="26" t="str">
        <f>IF(AND(H113=2, I113=4),"X","")</f>
        <v/>
      </c>
      <c r="N113" s="26" t="str">
        <f>IF(AND(H113=3,I113=4)=TRUE,"X","")</f>
        <v/>
      </c>
      <c r="O113" s="26" t="str">
        <f>IF(AND(H113=4,I113=4)=TRUE,"X","")</f>
        <v/>
      </c>
      <c r="P113" s="122" t="s">
        <v>127</v>
      </c>
      <c r="Q113" s="93"/>
      <c r="R113" s="94"/>
      <c r="S113" s="99">
        <v>1</v>
      </c>
      <c r="T113" s="99">
        <v>1</v>
      </c>
      <c r="U113" s="102" t="s">
        <v>18</v>
      </c>
      <c r="V113" s="23">
        <v>4</v>
      </c>
      <c r="W113" s="53" t="str">
        <f>IF(AND(S113=1, T113=4),"X","")</f>
        <v/>
      </c>
      <c r="X113" s="26" t="str">
        <f>IF(AND(S113=2, T113=4),"X","")</f>
        <v/>
      </c>
      <c r="Y113" s="26" t="str">
        <f>IF(AND(S113=3,T113=4)=TRUE,"X","")</f>
        <v/>
      </c>
      <c r="Z113" s="26" t="str">
        <f>IF(AND(S113=4,T113=4)=TRUE,"X","")</f>
        <v/>
      </c>
    </row>
    <row r="114" spans="1:26" ht="21" customHeight="1" x14ac:dyDescent="0.25">
      <c r="A114" s="109"/>
      <c r="B114" s="110"/>
      <c r="C114" s="111"/>
      <c r="D114" s="109"/>
      <c r="E114" s="110"/>
      <c r="F114" s="111"/>
      <c r="G114" s="100"/>
      <c r="H114" s="100"/>
      <c r="I114" s="100"/>
      <c r="J114" s="103"/>
      <c r="K114" s="23">
        <v>3</v>
      </c>
      <c r="L114" s="54" t="str">
        <f>IF(AND(H113=1,I113=3)=TRUE,"X","")</f>
        <v/>
      </c>
      <c r="M114" s="54" t="str">
        <f>IF(AND(H113=2,I113=3)=TRUE,"X","")</f>
        <v/>
      </c>
      <c r="N114" s="26" t="str">
        <f>IF(AND(H113=3,I113=3)=TRUE,"X","")</f>
        <v/>
      </c>
      <c r="O114" s="26" t="str">
        <f>IF(AND(H113=4,I113=3)=TRUE,"X","")</f>
        <v/>
      </c>
      <c r="P114" s="95"/>
      <c r="Q114" s="95"/>
      <c r="R114" s="96"/>
      <c r="S114" s="100"/>
      <c r="T114" s="100"/>
      <c r="U114" s="103"/>
      <c r="V114" s="23">
        <v>3</v>
      </c>
      <c r="W114" s="54" t="str">
        <f>IF(AND(S113=1,T113=3)=TRUE,"X","")</f>
        <v/>
      </c>
      <c r="X114" s="54" t="str">
        <f>IF(AND(S113=2,T113=3)=TRUE,"X","")</f>
        <v/>
      </c>
      <c r="Y114" s="26" t="str">
        <f>IF(AND(S113=3,T113=3)=TRUE,"X","")</f>
        <v/>
      </c>
      <c r="Z114" s="26" t="str">
        <f>IF(AND(S113=4,T113=3)=TRUE,"X","")</f>
        <v/>
      </c>
    </row>
    <row r="115" spans="1:26" ht="21.75" customHeight="1" x14ac:dyDescent="0.25">
      <c r="A115" s="109"/>
      <c r="B115" s="110"/>
      <c r="C115" s="111"/>
      <c r="D115" s="109"/>
      <c r="E115" s="110"/>
      <c r="F115" s="111"/>
      <c r="G115" s="99"/>
      <c r="H115" s="100"/>
      <c r="I115" s="100"/>
      <c r="J115" s="103"/>
      <c r="K115" s="23">
        <v>2</v>
      </c>
      <c r="L115" s="25" t="str">
        <f>IF(AND(H113=1,I113=2)=TRUE,"X","")</f>
        <v/>
      </c>
      <c r="M115" s="25" t="str">
        <f>IF(AND(H113=2,I113=2)=TRUE,"X","")</f>
        <v/>
      </c>
      <c r="N115" s="54" t="str">
        <f>IF(AND(H113=3,I113=2)=TRUE,"X","")</f>
        <v/>
      </c>
      <c r="O115" s="54" t="str">
        <f>IF(AND(H113=4,I113=2)=TRUE,"X","")</f>
        <v/>
      </c>
      <c r="P115" s="95"/>
      <c r="Q115" s="95"/>
      <c r="R115" s="96"/>
      <c r="S115" s="100"/>
      <c r="T115" s="100"/>
      <c r="U115" s="103"/>
      <c r="V115" s="23">
        <v>2</v>
      </c>
      <c r="W115" s="25" t="str">
        <f>IF(AND(S113=1,T113=2)=TRUE,"X","")</f>
        <v/>
      </c>
      <c r="X115" s="25" t="str">
        <f>IF(AND(S113=2,T113=2)=TRUE,"X","")</f>
        <v/>
      </c>
      <c r="Y115" s="54" t="str">
        <f>IF(AND(S113=3,T113=2)=TRUE,"X","")</f>
        <v/>
      </c>
      <c r="Z115" s="54" t="str">
        <f>IF(AND(S113=4,T113=2)=TRUE,"X","")</f>
        <v/>
      </c>
    </row>
    <row r="116" spans="1:26" ht="24" customHeight="1" x14ac:dyDescent="0.25">
      <c r="A116" s="109"/>
      <c r="B116" s="110"/>
      <c r="C116" s="111"/>
      <c r="D116" s="109"/>
      <c r="E116" s="110"/>
      <c r="F116" s="111"/>
      <c r="G116" s="100"/>
      <c r="H116" s="100"/>
      <c r="I116" s="100"/>
      <c r="J116" s="103"/>
      <c r="K116" s="23">
        <v>1</v>
      </c>
      <c r="L116" s="24" t="str">
        <f>IF(AND(H113=1,I113=1)=TRUE,"X","")</f>
        <v>X</v>
      </c>
      <c r="M116" s="24" t="str">
        <f>IF(AND(H113=2,I113=1)=TRUE,"X","")</f>
        <v/>
      </c>
      <c r="N116" s="25" t="str">
        <f>IF(AND(H113=3,I113=1)=TRUE,"X","")</f>
        <v/>
      </c>
      <c r="O116" s="25" t="str">
        <f>IF(AND(H113=4,I113=1)=TRUE,"X","")</f>
        <v/>
      </c>
      <c r="P116" s="95"/>
      <c r="Q116" s="95"/>
      <c r="R116" s="96"/>
      <c r="S116" s="100"/>
      <c r="T116" s="100"/>
      <c r="U116" s="103"/>
      <c r="V116" s="23">
        <v>1</v>
      </c>
      <c r="W116" s="24" t="str">
        <f>IF(AND(S113=1,T113=1)=TRUE,"X","")</f>
        <v>X</v>
      </c>
      <c r="X116" s="24" t="str">
        <f>IF(AND(S113=2,T113=1)=TRUE,"X","")</f>
        <v/>
      </c>
      <c r="Y116" s="25" t="str">
        <f>IF(AND(S113=3,T113=1)=TRUE,"X","")</f>
        <v/>
      </c>
      <c r="Z116" s="25" t="str">
        <f>IF(AND(S113=4,T113=1)=TRUE,"X","")</f>
        <v/>
      </c>
    </row>
    <row r="117" spans="1:26" ht="18.75" customHeight="1" x14ac:dyDescent="0.25">
      <c r="A117" s="109"/>
      <c r="B117" s="110"/>
      <c r="C117" s="111"/>
      <c r="D117" s="109"/>
      <c r="E117" s="110"/>
      <c r="F117" s="111"/>
      <c r="G117" s="99"/>
      <c r="H117" s="100"/>
      <c r="I117" s="100"/>
      <c r="J117" s="15"/>
      <c r="K117" s="27"/>
      <c r="L117" s="23">
        <v>1</v>
      </c>
      <c r="M117" s="23">
        <v>2</v>
      </c>
      <c r="N117" s="23">
        <v>3</v>
      </c>
      <c r="O117" s="13">
        <v>4</v>
      </c>
      <c r="P117" s="95"/>
      <c r="Q117" s="95"/>
      <c r="R117" s="96"/>
      <c r="S117" s="100"/>
      <c r="T117" s="100"/>
      <c r="U117" s="15"/>
      <c r="V117" s="27"/>
      <c r="W117" s="23">
        <v>1</v>
      </c>
      <c r="X117" s="23">
        <v>2</v>
      </c>
      <c r="Y117" s="23">
        <v>3</v>
      </c>
      <c r="Z117" s="13">
        <v>4</v>
      </c>
    </row>
    <row r="118" spans="1:26" ht="19.5" customHeight="1" x14ac:dyDescent="0.25">
      <c r="A118" s="112"/>
      <c r="B118" s="113"/>
      <c r="C118" s="114"/>
      <c r="D118" s="112"/>
      <c r="E118" s="113"/>
      <c r="F118" s="114"/>
      <c r="G118" s="101"/>
      <c r="H118" s="101"/>
      <c r="I118" s="101"/>
      <c r="J118" s="29"/>
      <c r="K118" s="30"/>
      <c r="L118" s="104" t="s">
        <v>19</v>
      </c>
      <c r="M118" s="105"/>
      <c r="N118" s="105"/>
      <c r="O118" s="106"/>
      <c r="P118" s="95"/>
      <c r="Q118" s="95"/>
      <c r="R118" s="96"/>
      <c r="S118" s="101"/>
      <c r="T118" s="101"/>
      <c r="U118" s="29"/>
      <c r="V118" s="30"/>
      <c r="W118" s="89" t="s">
        <v>19</v>
      </c>
      <c r="X118" s="90"/>
      <c r="Y118" s="90"/>
      <c r="Z118" s="91"/>
    </row>
    <row r="119" spans="1:26" ht="6.75" customHeight="1" x14ac:dyDescent="0.25">
      <c r="A119" s="118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20"/>
    </row>
    <row r="120" spans="1:26" ht="21" customHeight="1" x14ac:dyDescent="0.25">
      <c r="A120" s="121" t="s">
        <v>128</v>
      </c>
      <c r="B120" s="92"/>
      <c r="C120" s="108"/>
      <c r="D120" s="121" t="s">
        <v>129</v>
      </c>
      <c r="E120" s="92"/>
      <c r="F120" s="108"/>
      <c r="G120" s="99" t="s">
        <v>23</v>
      </c>
      <c r="H120" s="99">
        <v>2</v>
      </c>
      <c r="I120" s="99">
        <v>2</v>
      </c>
      <c r="J120" s="102" t="s">
        <v>18</v>
      </c>
      <c r="K120" s="23">
        <v>4</v>
      </c>
      <c r="L120" s="53" t="str">
        <f>IF(AND(H120=1, I120=4),"X","")</f>
        <v/>
      </c>
      <c r="M120" s="26" t="str">
        <f>IF(AND(H120=2, I120=4),"X","")</f>
        <v/>
      </c>
      <c r="N120" s="26" t="str">
        <f>IF(AND(H120=3,I120=4)=TRUE,"X","")</f>
        <v/>
      </c>
      <c r="O120" s="26" t="str">
        <f>IF(AND(H120=4,I120=4)=TRUE,"X","")</f>
        <v/>
      </c>
      <c r="P120" s="122" t="s">
        <v>130</v>
      </c>
      <c r="Q120" s="93"/>
      <c r="R120" s="94"/>
      <c r="S120" s="99">
        <v>1</v>
      </c>
      <c r="T120" s="99">
        <v>2</v>
      </c>
      <c r="U120" s="102" t="s">
        <v>18</v>
      </c>
      <c r="V120" s="23">
        <v>4</v>
      </c>
      <c r="W120" s="53" t="str">
        <f>IF(AND(S120=1, T120=4),"X","")</f>
        <v/>
      </c>
      <c r="X120" s="26" t="str">
        <f>IF(AND(S120=2, T120=4),"X","")</f>
        <v/>
      </c>
      <c r="Y120" s="26" t="str">
        <f>IF(AND(S120=3,T120=4)=TRUE,"X","")</f>
        <v/>
      </c>
      <c r="Z120" s="26" t="str">
        <f>IF(AND(S120=4,T120=4)=TRUE,"X","")</f>
        <v/>
      </c>
    </row>
    <row r="121" spans="1:26" ht="21" customHeight="1" x14ac:dyDescent="0.25">
      <c r="A121" s="109"/>
      <c r="B121" s="110"/>
      <c r="C121" s="111"/>
      <c r="D121" s="109"/>
      <c r="E121" s="110"/>
      <c r="F121" s="111"/>
      <c r="G121" s="100"/>
      <c r="H121" s="100"/>
      <c r="I121" s="100"/>
      <c r="J121" s="103"/>
      <c r="K121" s="23">
        <v>3</v>
      </c>
      <c r="L121" s="54" t="str">
        <f>IF(AND(H120=1,I120=3)=TRUE,"X","")</f>
        <v/>
      </c>
      <c r="M121" s="54" t="str">
        <f>IF(AND(H120=2,I120=3)=TRUE,"X","")</f>
        <v/>
      </c>
      <c r="N121" s="26" t="str">
        <f>IF(AND(H120=3,I120=3)=TRUE,"X","")</f>
        <v/>
      </c>
      <c r="O121" s="26" t="str">
        <f>IF(AND(H120=4,I120=3)=TRUE,"X","")</f>
        <v/>
      </c>
      <c r="P121" s="95"/>
      <c r="Q121" s="95"/>
      <c r="R121" s="96"/>
      <c r="S121" s="100"/>
      <c r="T121" s="100"/>
      <c r="U121" s="103"/>
      <c r="V121" s="23">
        <v>3</v>
      </c>
      <c r="W121" s="54" t="str">
        <f>IF(AND(S120=1,T120=3)=TRUE,"X","")</f>
        <v/>
      </c>
      <c r="X121" s="54" t="str">
        <f>IF(AND(S120=2,T120=3)=TRUE,"X","")</f>
        <v/>
      </c>
      <c r="Y121" s="26" t="str">
        <f>IF(AND(S120=3,T120=3)=TRUE,"X","")</f>
        <v/>
      </c>
      <c r="Z121" s="26" t="str">
        <f>IF(AND(S120=4,T120=3)=TRUE,"X","")</f>
        <v/>
      </c>
    </row>
    <row r="122" spans="1:26" ht="21" customHeight="1" x14ac:dyDescent="0.25">
      <c r="A122" s="109"/>
      <c r="B122" s="110"/>
      <c r="C122" s="111"/>
      <c r="D122" s="109"/>
      <c r="E122" s="110"/>
      <c r="F122" s="111"/>
      <c r="G122" s="99"/>
      <c r="H122" s="100"/>
      <c r="I122" s="100"/>
      <c r="J122" s="103"/>
      <c r="K122" s="23">
        <v>2</v>
      </c>
      <c r="L122" s="25" t="str">
        <f>IF(AND(H120=1,I120=2)=TRUE,"X","")</f>
        <v/>
      </c>
      <c r="M122" s="25" t="str">
        <f>IF(AND(H120=2,I120=2)=TRUE,"X","")</f>
        <v>X</v>
      </c>
      <c r="N122" s="54" t="str">
        <f>IF(AND(H120=3,I120=2)=TRUE,"X","")</f>
        <v/>
      </c>
      <c r="O122" s="54" t="str">
        <f>IF(AND(H120=4,I120=2)=TRUE,"X","")</f>
        <v/>
      </c>
      <c r="P122" s="95"/>
      <c r="Q122" s="95"/>
      <c r="R122" s="96"/>
      <c r="S122" s="100"/>
      <c r="T122" s="100"/>
      <c r="U122" s="103"/>
      <c r="V122" s="23">
        <v>2</v>
      </c>
      <c r="W122" s="25" t="str">
        <f>IF(AND(S120=1,T120=2)=TRUE,"X","")</f>
        <v>X</v>
      </c>
      <c r="X122" s="25" t="str">
        <f>IF(AND(S120=2,T120=2)=TRUE,"X","")</f>
        <v/>
      </c>
      <c r="Y122" s="54" t="str">
        <f>IF(AND(S120=3,T120=2)=TRUE,"X","")</f>
        <v/>
      </c>
      <c r="Z122" s="54" t="str">
        <f>IF(AND(S120=4,T120=2)=TRUE,"X","")</f>
        <v/>
      </c>
    </row>
    <row r="123" spans="1:26" ht="21" customHeight="1" x14ac:dyDescent="0.25">
      <c r="A123" s="109"/>
      <c r="B123" s="110"/>
      <c r="C123" s="111"/>
      <c r="D123" s="109"/>
      <c r="E123" s="110"/>
      <c r="F123" s="111"/>
      <c r="G123" s="100"/>
      <c r="H123" s="100"/>
      <c r="I123" s="100"/>
      <c r="J123" s="103"/>
      <c r="K123" s="23">
        <v>1</v>
      </c>
      <c r="L123" s="24" t="str">
        <f>IF(AND(H120=1,I120=1)=TRUE,"X","")</f>
        <v/>
      </c>
      <c r="M123" s="24" t="str">
        <f>IF(AND(H120=2,I120=1)=TRUE,"X","")</f>
        <v/>
      </c>
      <c r="N123" s="25" t="str">
        <f>IF(AND(H120=3,I120=1)=TRUE,"X","")</f>
        <v/>
      </c>
      <c r="O123" s="25" t="str">
        <f>IF(AND(H120=4,I120=1)=TRUE,"X","")</f>
        <v/>
      </c>
      <c r="P123" s="95"/>
      <c r="Q123" s="95"/>
      <c r="R123" s="96"/>
      <c r="S123" s="100"/>
      <c r="T123" s="100"/>
      <c r="U123" s="103"/>
      <c r="V123" s="23">
        <v>1</v>
      </c>
      <c r="W123" s="24" t="str">
        <f>IF(AND(S120=1,T120=1)=TRUE,"X","")</f>
        <v/>
      </c>
      <c r="X123" s="24" t="str">
        <f>IF(AND(S120=2,T120=1)=TRUE,"X","")</f>
        <v/>
      </c>
      <c r="Y123" s="25" t="str">
        <f>IF(AND(S120=3,T120=1)=TRUE,"X","")</f>
        <v/>
      </c>
      <c r="Z123" s="25" t="str">
        <f>IF(AND(S120=4,T120=1)=TRUE,"X","")</f>
        <v/>
      </c>
    </row>
    <row r="124" spans="1:26" ht="21" customHeight="1" x14ac:dyDescent="0.25">
      <c r="A124" s="109"/>
      <c r="B124" s="110"/>
      <c r="C124" s="111"/>
      <c r="D124" s="109"/>
      <c r="E124" s="110"/>
      <c r="F124" s="111"/>
      <c r="G124" s="99"/>
      <c r="H124" s="100"/>
      <c r="I124" s="100"/>
      <c r="J124" s="15"/>
      <c r="K124" s="27"/>
      <c r="L124" s="23">
        <v>1</v>
      </c>
      <c r="M124" s="23">
        <v>2</v>
      </c>
      <c r="N124" s="23">
        <v>3</v>
      </c>
      <c r="O124" s="13">
        <v>4</v>
      </c>
      <c r="P124" s="95"/>
      <c r="Q124" s="95"/>
      <c r="R124" s="96"/>
      <c r="S124" s="100"/>
      <c r="T124" s="100"/>
      <c r="U124" s="15"/>
      <c r="V124" s="27"/>
      <c r="W124" s="23">
        <v>1</v>
      </c>
      <c r="X124" s="23">
        <v>2</v>
      </c>
      <c r="Y124" s="23">
        <v>3</v>
      </c>
      <c r="Z124" s="13">
        <v>4</v>
      </c>
    </row>
    <row r="125" spans="1:26" ht="21" customHeight="1" x14ac:dyDescent="0.25">
      <c r="A125" s="109"/>
      <c r="B125" s="110"/>
      <c r="C125" s="111"/>
      <c r="D125" s="109"/>
      <c r="E125" s="110"/>
      <c r="F125" s="111"/>
      <c r="G125" s="100"/>
      <c r="H125" s="100"/>
      <c r="I125" s="100"/>
      <c r="J125" s="22"/>
      <c r="K125" s="14"/>
      <c r="L125" s="115" t="s">
        <v>19</v>
      </c>
      <c r="M125" s="116"/>
      <c r="N125" s="116"/>
      <c r="O125" s="117"/>
      <c r="P125" s="95"/>
      <c r="Q125" s="95"/>
      <c r="R125" s="96"/>
      <c r="S125" s="100"/>
      <c r="T125" s="100"/>
      <c r="U125" s="22"/>
      <c r="V125" s="14"/>
      <c r="W125" s="115" t="s">
        <v>19</v>
      </c>
      <c r="X125" s="116"/>
      <c r="Y125" s="116"/>
      <c r="Z125" s="117"/>
    </row>
    <row r="126" spans="1:26" ht="21" customHeight="1" x14ac:dyDescent="0.25">
      <c r="A126" s="118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20"/>
    </row>
    <row r="127" spans="1:26" ht="21" customHeight="1" x14ac:dyDescent="0.25">
      <c r="A127" s="121" t="s">
        <v>128</v>
      </c>
      <c r="B127" s="92"/>
      <c r="C127" s="108"/>
      <c r="D127" s="121" t="s">
        <v>131</v>
      </c>
      <c r="E127" s="92"/>
      <c r="F127" s="108"/>
      <c r="G127" s="99" t="s">
        <v>22</v>
      </c>
      <c r="H127" s="99">
        <v>2</v>
      </c>
      <c r="I127" s="99">
        <v>1</v>
      </c>
      <c r="J127" s="102" t="s">
        <v>18</v>
      </c>
      <c r="K127" s="23">
        <v>4</v>
      </c>
      <c r="L127" s="53" t="str">
        <f>IF(AND(H127=1, I127=4),"X","")</f>
        <v/>
      </c>
      <c r="M127" s="26" t="str">
        <f>IF(AND(H127=2, I127=4),"X","")</f>
        <v/>
      </c>
      <c r="N127" s="26" t="str">
        <f>IF(AND(H127=3,I127=4)=TRUE,"X","")</f>
        <v/>
      </c>
      <c r="O127" s="26" t="str">
        <f>IF(AND(H127=4,I127=4)=TRUE,"X","")</f>
        <v/>
      </c>
      <c r="P127" s="122" t="s">
        <v>132</v>
      </c>
      <c r="Q127" s="93"/>
      <c r="R127" s="94"/>
      <c r="S127" s="99">
        <v>1</v>
      </c>
      <c r="T127" s="99">
        <v>1</v>
      </c>
      <c r="U127" s="102" t="s">
        <v>18</v>
      </c>
      <c r="V127" s="23">
        <v>4</v>
      </c>
      <c r="W127" s="53" t="str">
        <f>IF(AND(S127=1, T127=4),"X","")</f>
        <v/>
      </c>
      <c r="X127" s="26" t="str">
        <f>IF(AND(S127=2, T127=4),"X","")</f>
        <v/>
      </c>
      <c r="Y127" s="26" t="str">
        <f>IF(AND(S127=3,T127=4)=TRUE,"X","")</f>
        <v/>
      </c>
      <c r="Z127" s="26" t="str">
        <f>IF(AND(S127=4,T127=4)=TRUE,"X","")</f>
        <v/>
      </c>
    </row>
    <row r="128" spans="1:26" ht="21" customHeight="1" x14ac:dyDescent="0.25">
      <c r="A128" s="109"/>
      <c r="B128" s="110"/>
      <c r="C128" s="111"/>
      <c r="D128" s="109"/>
      <c r="E128" s="110"/>
      <c r="F128" s="111"/>
      <c r="G128" s="100"/>
      <c r="H128" s="100"/>
      <c r="I128" s="100"/>
      <c r="J128" s="103"/>
      <c r="K128" s="23">
        <v>3</v>
      </c>
      <c r="L128" s="54" t="str">
        <f>IF(AND(H127=1,I127=3)=TRUE,"X","")</f>
        <v/>
      </c>
      <c r="M128" s="54" t="str">
        <f>IF(AND(H127=2,I127=3)=TRUE,"X","")</f>
        <v/>
      </c>
      <c r="N128" s="26" t="str">
        <f>IF(AND(H127=3,I127=3)=TRUE,"X","")</f>
        <v/>
      </c>
      <c r="O128" s="26" t="str">
        <f>IF(AND(H127=4,I127=3)=TRUE,"X","")</f>
        <v/>
      </c>
      <c r="P128" s="95"/>
      <c r="Q128" s="95"/>
      <c r="R128" s="96"/>
      <c r="S128" s="100"/>
      <c r="T128" s="100"/>
      <c r="U128" s="103"/>
      <c r="V128" s="23">
        <v>3</v>
      </c>
      <c r="W128" s="54" t="str">
        <f>IF(AND(S127=1,T127=3)=TRUE,"X","")</f>
        <v/>
      </c>
      <c r="X128" s="54" t="str">
        <f>IF(AND(S127=2,T127=3)=TRUE,"X","")</f>
        <v/>
      </c>
      <c r="Y128" s="26" t="str">
        <f>IF(AND(S127=3,T127=3)=TRUE,"X","")</f>
        <v/>
      </c>
      <c r="Z128" s="26" t="str">
        <f>IF(AND(S127=4,T127=3)=TRUE,"X","")</f>
        <v/>
      </c>
    </row>
    <row r="129" spans="1:26" ht="21" customHeight="1" x14ac:dyDescent="0.25">
      <c r="A129" s="109"/>
      <c r="B129" s="110"/>
      <c r="C129" s="111"/>
      <c r="D129" s="109"/>
      <c r="E129" s="110"/>
      <c r="F129" s="111"/>
      <c r="G129" s="99"/>
      <c r="H129" s="100"/>
      <c r="I129" s="100"/>
      <c r="J129" s="103"/>
      <c r="K129" s="23">
        <v>2</v>
      </c>
      <c r="L129" s="25" t="str">
        <f>IF(AND(H127=1,I127=2)=TRUE,"X","")</f>
        <v/>
      </c>
      <c r="M129" s="25" t="str">
        <f>IF(AND(H127=2,I127=2)=TRUE,"X","")</f>
        <v/>
      </c>
      <c r="N129" s="54" t="str">
        <f>IF(AND(H127=3,I127=2)=TRUE,"X","")</f>
        <v/>
      </c>
      <c r="O129" s="54" t="str">
        <f>IF(AND(H127=4,I127=2)=TRUE,"X","")</f>
        <v/>
      </c>
      <c r="P129" s="95"/>
      <c r="Q129" s="95"/>
      <c r="R129" s="96"/>
      <c r="S129" s="100"/>
      <c r="T129" s="100"/>
      <c r="U129" s="103"/>
      <c r="V129" s="23">
        <v>2</v>
      </c>
      <c r="W129" s="25" t="str">
        <f>IF(AND(S127=1,T127=2)=TRUE,"X","")</f>
        <v/>
      </c>
      <c r="X129" s="25" t="str">
        <f>IF(AND(S127=2,T127=2)=TRUE,"X","")</f>
        <v/>
      </c>
      <c r="Y129" s="54" t="str">
        <f>IF(AND(S127=3,T127=2)=TRUE,"X","")</f>
        <v/>
      </c>
      <c r="Z129" s="54" t="str">
        <f>IF(AND(S127=4,T127=2)=TRUE,"X","")</f>
        <v/>
      </c>
    </row>
    <row r="130" spans="1:26" ht="21" customHeight="1" x14ac:dyDescent="0.25">
      <c r="A130" s="109"/>
      <c r="B130" s="110"/>
      <c r="C130" s="111"/>
      <c r="D130" s="109"/>
      <c r="E130" s="110"/>
      <c r="F130" s="111"/>
      <c r="G130" s="100"/>
      <c r="H130" s="100"/>
      <c r="I130" s="100"/>
      <c r="J130" s="103"/>
      <c r="K130" s="23">
        <v>1</v>
      </c>
      <c r="L130" s="24" t="str">
        <f>IF(AND(H127=1,I127=1)=TRUE,"X","")</f>
        <v/>
      </c>
      <c r="M130" s="24" t="str">
        <f>IF(AND(H127=2,I127=1)=TRUE,"X","")</f>
        <v>X</v>
      </c>
      <c r="N130" s="25" t="str">
        <f>IF(AND(H127=3,I127=1)=TRUE,"X","")</f>
        <v/>
      </c>
      <c r="O130" s="25" t="str">
        <f>IF(AND(H127=4,I127=1)=TRUE,"X","")</f>
        <v/>
      </c>
      <c r="P130" s="95"/>
      <c r="Q130" s="95"/>
      <c r="R130" s="96"/>
      <c r="S130" s="100"/>
      <c r="T130" s="100"/>
      <c r="U130" s="103"/>
      <c r="V130" s="23">
        <v>1</v>
      </c>
      <c r="W130" s="24" t="str">
        <f>IF(AND(S127=1,T127=1)=TRUE,"X","")</f>
        <v>X</v>
      </c>
      <c r="X130" s="24" t="str">
        <f>IF(AND(S127=2,T127=1)=TRUE,"X","")</f>
        <v/>
      </c>
      <c r="Y130" s="25" t="str">
        <f>IF(AND(S127=3,T127=1)=TRUE,"X","")</f>
        <v/>
      </c>
      <c r="Z130" s="25" t="str">
        <f>IF(AND(S127=4,T127=1)=TRUE,"X","")</f>
        <v/>
      </c>
    </row>
    <row r="131" spans="1:26" ht="21" customHeight="1" x14ac:dyDescent="0.25">
      <c r="A131" s="109"/>
      <c r="B131" s="110"/>
      <c r="C131" s="111"/>
      <c r="D131" s="109"/>
      <c r="E131" s="110"/>
      <c r="F131" s="111"/>
      <c r="G131" s="99"/>
      <c r="H131" s="100"/>
      <c r="I131" s="100"/>
      <c r="J131" s="15"/>
      <c r="K131" s="27"/>
      <c r="L131" s="23">
        <v>1</v>
      </c>
      <c r="M131" s="23">
        <v>2</v>
      </c>
      <c r="N131" s="23">
        <v>3</v>
      </c>
      <c r="O131" s="13">
        <v>4</v>
      </c>
      <c r="P131" s="95"/>
      <c r="Q131" s="95"/>
      <c r="R131" s="96"/>
      <c r="S131" s="100"/>
      <c r="T131" s="100"/>
      <c r="U131" s="15"/>
      <c r="V131" s="27"/>
      <c r="W131" s="23">
        <v>1</v>
      </c>
      <c r="X131" s="23">
        <v>2</v>
      </c>
      <c r="Y131" s="23">
        <v>3</v>
      </c>
      <c r="Z131" s="13">
        <v>4</v>
      </c>
    </row>
    <row r="132" spans="1:26" ht="21" customHeight="1" x14ac:dyDescent="0.25">
      <c r="A132" s="109"/>
      <c r="B132" s="110"/>
      <c r="C132" s="111"/>
      <c r="D132" s="109"/>
      <c r="E132" s="110"/>
      <c r="F132" s="111"/>
      <c r="G132" s="100"/>
      <c r="H132" s="100"/>
      <c r="I132" s="100"/>
      <c r="J132" s="22"/>
      <c r="K132" s="14"/>
      <c r="L132" s="115" t="s">
        <v>19</v>
      </c>
      <c r="M132" s="116"/>
      <c r="N132" s="116"/>
      <c r="O132" s="117"/>
      <c r="P132" s="95"/>
      <c r="Q132" s="95"/>
      <c r="R132" s="96"/>
      <c r="S132" s="100"/>
      <c r="T132" s="100"/>
      <c r="U132" s="22"/>
      <c r="V132" s="14"/>
      <c r="W132" s="115" t="s">
        <v>19</v>
      </c>
      <c r="X132" s="116"/>
      <c r="Y132" s="116"/>
      <c r="Z132" s="117"/>
    </row>
    <row r="133" spans="1:26" ht="21" customHeight="1" x14ac:dyDescent="0.25">
      <c r="A133" s="118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20"/>
    </row>
    <row r="134" spans="1:26" ht="21" customHeight="1" x14ac:dyDescent="0.25">
      <c r="A134" s="121" t="s">
        <v>128</v>
      </c>
      <c r="B134" s="92"/>
      <c r="C134" s="108"/>
      <c r="D134" s="107"/>
      <c r="E134" s="92"/>
      <c r="F134" s="108"/>
      <c r="G134" s="99"/>
      <c r="H134" s="99"/>
      <c r="I134" s="99"/>
      <c r="J134" s="102" t="s">
        <v>18</v>
      </c>
      <c r="K134" s="23">
        <v>4</v>
      </c>
      <c r="L134" s="53" t="str">
        <f>IF(AND(H134=1, I134=4),"X","")</f>
        <v/>
      </c>
      <c r="M134" s="26" t="str">
        <f>IF(AND(H134=2, I134=4),"X","")</f>
        <v/>
      </c>
      <c r="N134" s="26" t="str">
        <f>IF(AND(H134=3,I134=4)=TRUE,"X","")</f>
        <v/>
      </c>
      <c r="O134" s="26" t="str">
        <f>IF(AND(H134=4,I134=4)=TRUE,"X","")</f>
        <v/>
      </c>
      <c r="P134" s="92"/>
      <c r="Q134" s="93"/>
      <c r="R134" s="94"/>
      <c r="S134" s="99"/>
      <c r="T134" s="99"/>
      <c r="U134" s="102" t="s">
        <v>18</v>
      </c>
      <c r="V134" s="23">
        <v>4</v>
      </c>
      <c r="W134" s="53" t="str">
        <f>IF(AND(S134=1, T134=4),"X","")</f>
        <v/>
      </c>
      <c r="X134" s="26" t="str">
        <f>IF(AND(S134=2, T134=4),"X","")</f>
        <v/>
      </c>
      <c r="Y134" s="26" t="str">
        <f>IF(AND(S134=3,T134=4)=TRUE,"X","")</f>
        <v/>
      </c>
      <c r="Z134" s="26" t="str">
        <f>IF(AND(S134=4,T134=4)=TRUE,"X","")</f>
        <v/>
      </c>
    </row>
    <row r="135" spans="1:26" ht="21" customHeight="1" x14ac:dyDescent="0.25">
      <c r="A135" s="109"/>
      <c r="B135" s="110"/>
      <c r="C135" s="111"/>
      <c r="D135" s="109"/>
      <c r="E135" s="110"/>
      <c r="F135" s="111"/>
      <c r="G135" s="100"/>
      <c r="H135" s="100"/>
      <c r="I135" s="100"/>
      <c r="J135" s="103"/>
      <c r="K135" s="23">
        <v>3</v>
      </c>
      <c r="L135" s="54" t="str">
        <f>IF(AND(H134=1,I134=3)=TRUE,"X","")</f>
        <v/>
      </c>
      <c r="M135" s="54" t="str">
        <f>IF(AND(H134=2,I134=3)=TRUE,"X","")</f>
        <v/>
      </c>
      <c r="N135" s="26" t="str">
        <f>IF(AND(H134=3,I134=3)=TRUE,"X","")</f>
        <v/>
      </c>
      <c r="O135" s="26" t="str">
        <f>IF(AND(H134=4,I134=3)=TRUE,"X","")</f>
        <v/>
      </c>
      <c r="P135" s="95"/>
      <c r="Q135" s="95"/>
      <c r="R135" s="96"/>
      <c r="S135" s="100"/>
      <c r="T135" s="100"/>
      <c r="U135" s="103"/>
      <c r="V135" s="23">
        <v>3</v>
      </c>
      <c r="W135" s="54" t="str">
        <f>IF(AND(S134=1,T134=3)=TRUE,"X","")</f>
        <v/>
      </c>
      <c r="X135" s="54" t="str">
        <f>IF(AND(S134=2,T134=3)=TRUE,"X","")</f>
        <v/>
      </c>
      <c r="Y135" s="26" t="str">
        <f>IF(AND(S134=3,T134=3)=TRUE,"X","")</f>
        <v/>
      </c>
      <c r="Z135" s="26" t="str">
        <f>IF(AND(S134=4,T134=3)=TRUE,"X","")</f>
        <v/>
      </c>
    </row>
    <row r="136" spans="1:26" ht="21" customHeight="1" x14ac:dyDescent="0.25">
      <c r="A136" s="109"/>
      <c r="B136" s="110"/>
      <c r="C136" s="111"/>
      <c r="D136" s="109"/>
      <c r="E136" s="110"/>
      <c r="F136" s="111"/>
      <c r="G136" s="99"/>
      <c r="H136" s="100"/>
      <c r="I136" s="100"/>
      <c r="J136" s="103"/>
      <c r="K136" s="23">
        <v>2</v>
      </c>
      <c r="L136" s="25" t="str">
        <f>IF(AND(H134=1,I134=2)=TRUE,"X","")</f>
        <v/>
      </c>
      <c r="M136" s="25" t="str">
        <f>IF(AND(H134=2,I134=2)=TRUE,"X","")</f>
        <v/>
      </c>
      <c r="N136" s="54" t="str">
        <f>IF(AND(H134=3,I134=2)=TRUE,"X","")</f>
        <v/>
      </c>
      <c r="O136" s="54" t="str">
        <f>IF(AND(H134=4,I134=2)=TRUE,"X","")</f>
        <v/>
      </c>
      <c r="P136" s="95"/>
      <c r="Q136" s="95"/>
      <c r="R136" s="96"/>
      <c r="S136" s="100"/>
      <c r="T136" s="100"/>
      <c r="U136" s="103"/>
      <c r="V136" s="23">
        <v>2</v>
      </c>
      <c r="W136" s="25" t="str">
        <f>IF(AND(S134=1,T134=2)=TRUE,"X","")</f>
        <v/>
      </c>
      <c r="X136" s="25" t="str">
        <f>IF(AND(S134=2,T134=2)=TRUE,"X","")</f>
        <v/>
      </c>
      <c r="Y136" s="54" t="str">
        <f>IF(AND(S134=3,T134=2)=TRUE,"X","")</f>
        <v/>
      </c>
      <c r="Z136" s="54" t="str">
        <f>IF(AND(S134=4,T134=2)=TRUE,"X","")</f>
        <v/>
      </c>
    </row>
    <row r="137" spans="1:26" ht="21" customHeight="1" x14ac:dyDescent="0.25">
      <c r="A137" s="109"/>
      <c r="B137" s="110"/>
      <c r="C137" s="111"/>
      <c r="D137" s="109"/>
      <c r="E137" s="110"/>
      <c r="F137" s="111"/>
      <c r="G137" s="100"/>
      <c r="H137" s="100"/>
      <c r="I137" s="100"/>
      <c r="J137" s="103"/>
      <c r="K137" s="23">
        <v>1</v>
      </c>
      <c r="L137" s="24" t="str">
        <f>IF(AND(H134=1,I134=1)=TRUE,"X","")</f>
        <v/>
      </c>
      <c r="M137" s="24" t="str">
        <f>IF(AND(H134=2,I134=1)=TRUE,"X","")</f>
        <v/>
      </c>
      <c r="N137" s="25" t="str">
        <f>IF(AND(H134=3,I134=1)=TRUE,"X","")</f>
        <v/>
      </c>
      <c r="O137" s="25" t="str">
        <f>IF(AND(H134=4,I134=1)=TRUE,"X","")</f>
        <v/>
      </c>
      <c r="P137" s="95"/>
      <c r="Q137" s="95"/>
      <c r="R137" s="96"/>
      <c r="S137" s="100"/>
      <c r="T137" s="100"/>
      <c r="U137" s="103"/>
      <c r="V137" s="23">
        <v>1</v>
      </c>
      <c r="W137" s="24" t="str">
        <f>IF(AND(S134=1,T134=1)=TRUE,"X","")</f>
        <v/>
      </c>
      <c r="X137" s="24" t="str">
        <f>IF(AND(S134=2,T134=1)=TRUE,"X","")</f>
        <v/>
      </c>
      <c r="Y137" s="25" t="str">
        <f>IF(AND(S134=3,T134=1)=TRUE,"X","")</f>
        <v/>
      </c>
      <c r="Z137" s="25" t="str">
        <f>IF(AND(S134=4,T134=1)=TRUE,"X","")</f>
        <v/>
      </c>
    </row>
    <row r="138" spans="1:26" ht="21" customHeight="1" x14ac:dyDescent="0.25">
      <c r="A138" s="109"/>
      <c r="B138" s="110"/>
      <c r="C138" s="111"/>
      <c r="D138" s="109"/>
      <c r="E138" s="110"/>
      <c r="F138" s="111"/>
      <c r="G138" s="99"/>
      <c r="H138" s="100"/>
      <c r="I138" s="100"/>
      <c r="J138" s="15"/>
      <c r="K138" s="27"/>
      <c r="L138" s="23">
        <v>1</v>
      </c>
      <c r="M138" s="23">
        <v>2</v>
      </c>
      <c r="N138" s="23">
        <v>3</v>
      </c>
      <c r="O138" s="13">
        <v>4</v>
      </c>
      <c r="P138" s="95"/>
      <c r="Q138" s="95"/>
      <c r="R138" s="96"/>
      <c r="S138" s="100"/>
      <c r="T138" s="100"/>
      <c r="U138" s="15"/>
      <c r="V138" s="27"/>
      <c r="W138" s="23">
        <v>1</v>
      </c>
      <c r="X138" s="23">
        <v>2</v>
      </c>
      <c r="Y138" s="23">
        <v>3</v>
      </c>
      <c r="Z138" s="13">
        <v>4</v>
      </c>
    </row>
    <row r="139" spans="1:26" ht="21" customHeight="1" x14ac:dyDescent="0.25">
      <c r="A139" s="109"/>
      <c r="B139" s="110"/>
      <c r="C139" s="111"/>
      <c r="D139" s="109"/>
      <c r="E139" s="110"/>
      <c r="F139" s="111"/>
      <c r="G139" s="100"/>
      <c r="H139" s="100"/>
      <c r="I139" s="100"/>
      <c r="J139" s="22"/>
      <c r="K139" s="14"/>
      <c r="L139" s="115" t="s">
        <v>19</v>
      </c>
      <c r="M139" s="116"/>
      <c r="N139" s="116"/>
      <c r="O139" s="117"/>
      <c r="P139" s="95"/>
      <c r="Q139" s="95"/>
      <c r="R139" s="96"/>
      <c r="S139" s="100"/>
      <c r="T139" s="100"/>
      <c r="U139" s="22"/>
      <c r="V139" s="14"/>
      <c r="W139" s="115" t="s">
        <v>19</v>
      </c>
      <c r="X139" s="116"/>
      <c r="Y139" s="116"/>
      <c r="Z139" s="117"/>
    </row>
    <row r="140" spans="1:26" ht="21" customHeight="1" x14ac:dyDescent="0.25">
      <c r="A140" s="118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20"/>
    </row>
    <row r="141" spans="1:26" ht="21" customHeight="1" x14ac:dyDescent="0.25">
      <c r="A141" s="107"/>
      <c r="B141" s="92"/>
      <c r="C141" s="108"/>
      <c r="D141" s="107"/>
      <c r="E141" s="92"/>
      <c r="F141" s="108"/>
      <c r="G141" s="99"/>
      <c r="H141" s="99"/>
      <c r="I141" s="99"/>
      <c r="J141" s="102" t="s">
        <v>18</v>
      </c>
      <c r="K141" s="23">
        <v>4</v>
      </c>
      <c r="L141" s="53" t="str">
        <f>IF(AND(H141=1, I141=4),"X","")</f>
        <v/>
      </c>
      <c r="M141" s="26" t="str">
        <f>IF(AND(H141=2, I141=4),"X","")</f>
        <v/>
      </c>
      <c r="N141" s="26" t="str">
        <f>IF(AND(H141=3,I141=4)=TRUE,"X","")</f>
        <v/>
      </c>
      <c r="O141" s="26" t="str">
        <f>IF(AND(H141=4,I141=4)=TRUE,"X","")</f>
        <v/>
      </c>
      <c r="P141" s="92"/>
      <c r="Q141" s="93"/>
      <c r="R141" s="94"/>
      <c r="S141" s="99"/>
      <c r="T141" s="99"/>
      <c r="U141" s="102" t="s">
        <v>18</v>
      </c>
      <c r="V141" s="23">
        <v>4</v>
      </c>
      <c r="W141" s="53" t="str">
        <f>IF(AND(S141=1, T141=4),"X","")</f>
        <v/>
      </c>
      <c r="X141" s="26" t="str">
        <f>IF(AND(S141=2, T141=4),"X","")</f>
        <v/>
      </c>
      <c r="Y141" s="26" t="str">
        <f>IF(AND(S141=3,T141=4)=TRUE,"X","")</f>
        <v/>
      </c>
      <c r="Z141" s="26" t="str">
        <f>IF(AND(S141=4,T141=4)=TRUE,"X","")</f>
        <v/>
      </c>
    </row>
    <row r="142" spans="1:26" ht="21" customHeight="1" x14ac:dyDescent="0.25">
      <c r="A142" s="109"/>
      <c r="B142" s="110"/>
      <c r="C142" s="111"/>
      <c r="D142" s="109"/>
      <c r="E142" s="110"/>
      <c r="F142" s="111"/>
      <c r="G142" s="100"/>
      <c r="H142" s="100"/>
      <c r="I142" s="100"/>
      <c r="J142" s="103"/>
      <c r="K142" s="23">
        <v>3</v>
      </c>
      <c r="L142" s="54" t="str">
        <f>IF(AND(H141=1,I141=3)=TRUE,"X","")</f>
        <v/>
      </c>
      <c r="M142" s="54" t="str">
        <f>IF(AND(H141=2,I141=3)=TRUE,"X","")</f>
        <v/>
      </c>
      <c r="N142" s="26" t="str">
        <f>IF(AND(H141=3,I141=3)=TRUE,"X","")</f>
        <v/>
      </c>
      <c r="O142" s="26" t="str">
        <f>IF(AND(H141=4,I141=3)=TRUE,"X","")</f>
        <v/>
      </c>
      <c r="P142" s="95"/>
      <c r="Q142" s="95"/>
      <c r="R142" s="96"/>
      <c r="S142" s="100"/>
      <c r="T142" s="100"/>
      <c r="U142" s="103"/>
      <c r="V142" s="23">
        <v>3</v>
      </c>
      <c r="W142" s="54" t="str">
        <f>IF(AND(S141=1,T141=3)=TRUE,"X","")</f>
        <v/>
      </c>
      <c r="X142" s="54" t="str">
        <f>IF(AND(S141=2,T141=3)=TRUE,"X","")</f>
        <v/>
      </c>
      <c r="Y142" s="26" t="str">
        <f>IF(AND(S141=3,T141=3)=TRUE,"X","")</f>
        <v/>
      </c>
      <c r="Z142" s="26" t="str">
        <f>IF(AND(S141=4,T141=3)=TRUE,"X","")</f>
        <v/>
      </c>
    </row>
    <row r="143" spans="1:26" ht="21" customHeight="1" x14ac:dyDescent="0.25">
      <c r="A143" s="109"/>
      <c r="B143" s="110"/>
      <c r="C143" s="111"/>
      <c r="D143" s="109"/>
      <c r="E143" s="110"/>
      <c r="F143" s="111"/>
      <c r="G143" s="99"/>
      <c r="H143" s="100"/>
      <c r="I143" s="100"/>
      <c r="J143" s="103"/>
      <c r="K143" s="23">
        <v>2</v>
      </c>
      <c r="L143" s="25" t="str">
        <f>IF(AND(H141=1,I141=2)=TRUE,"X","")</f>
        <v/>
      </c>
      <c r="M143" s="25" t="str">
        <f>IF(AND(H141=2,I141=2)=TRUE,"X","")</f>
        <v/>
      </c>
      <c r="N143" s="54" t="str">
        <f>IF(AND(H141=3,I141=2)=TRUE,"X","")</f>
        <v/>
      </c>
      <c r="O143" s="54" t="str">
        <f>IF(AND(H141=4,I141=2)=TRUE,"X","")</f>
        <v/>
      </c>
      <c r="P143" s="95"/>
      <c r="Q143" s="95"/>
      <c r="R143" s="96"/>
      <c r="S143" s="100"/>
      <c r="T143" s="100"/>
      <c r="U143" s="103"/>
      <c r="V143" s="23">
        <v>2</v>
      </c>
      <c r="W143" s="25" t="str">
        <f>IF(AND(S141=1,T141=2)=TRUE,"X","")</f>
        <v/>
      </c>
      <c r="X143" s="25" t="str">
        <f>IF(AND(S141=2,T141=2)=TRUE,"X","")</f>
        <v/>
      </c>
      <c r="Y143" s="54" t="str">
        <f>IF(AND(S141=3,T141=2)=TRUE,"X","")</f>
        <v/>
      </c>
      <c r="Z143" s="54" t="str">
        <f>IF(AND(S141=4,T141=2)=TRUE,"X","")</f>
        <v/>
      </c>
    </row>
    <row r="144" spans="1:26" ht="21" customHeight="1" x14ac:dyDescent="0.25">
      <c r="A144" s="109"/>
      <c r="B144" s="110"/>
      <c r="C144" s="111"/>
      <c r="D144" s="109"/>
      <c r="E144" s="110"/>
      <c r="F144" s="111"/>
      <c r="G144" s="100"/>
      <c r="H144" s="100"/>
      <c r="I144" s="100"/>
      <c r="J144" s="103"/>
      <c r="K144" s="23">
        <v>1</v>
      </c>
      <c r="L144" s="24" t="str">
        <f>IF(AND(H141=1,I141=1)=TRUE,"X","")</f>
        <v/>
      </c>
      <c r="M144" s="24" t="str">
        <f>IF(AND(H141=2,I141=1)=TRUE,"X","")</f>
        <v/>
      </c>
      <c r="N144" s="25" t="str">
        <f>IF(AND(H141=3,I141=1)=TRUE,"X","")</f>
        <v/>
      </c>
      <c r="O144" s="25" t="str">
        <f>IF(AND(H141=4,I141=1)=TRUE,"X","")</f>
        <v/>
      </c>
      <c r="P144" s="95"/>
      <c r="Q144" s="95"/>
      <c r="R144" s="96"/>
      <c r="S144" s="100"/>
      <c r="T144" s="100"/>
      <c r="U144" s="103"/>
      <c r="V144" s="23">
        <v>1</v>
      </c>
      <c r="W144" s="24" t="str">
        <f>IF(AND(S141=1,T141=1)=TRUE,"X","")</f>
        <v/>
      </c>
      <c r="X144" s="24" t="str">
        <f>IF(AND(S141=2,T141=1)=TRUE,"X","")</f>
        <v/>
      </c>
      <c r="Y144" s="25" t="str">
        <f>IF(AND(S141=3,T141=1)=TRUE,"X","")</f>
        <v/>
      </c>
      <c r="Z144" s="25" t="str">
        <f>IF(AND(S141=4,T141=1)=TRUE,"X","")</f>
        <v/>
      </c>
    </row>
    <row r="145" spans="1:26" ht="21" customHeight="1" x14ac:dyDescent="0.25">
      <c r="A145" s="109"/>
      <c r="B145" s="110"/>
      <c r="C145" s="111"/>
      <c r="D145" s="109"/>
      <c r="E145" s="110"/>
      <c r="F145" s="111"/>
      <c r="G145" s="99"/>
      <c r="H145" s="100"/>
      <c r="I145" s="100"/>
      <c r="J145" s="15"/>
      <c r="K145" s="27"/>
      <c r="L145" s="23">
        <v>1</v>
      </c>
      <c r="M145" s="23">
        <v>2</v>
      </c>
      <c r="N145" s="23">
        <v>3</v>
      </c>
      <c r="O145" s="13">
        <v>4</v>
      </c>
      <c r="P145" s="95"/>
      <c r="Q145" s="95"/>
      <c r="R145" s="96"/>
      <c r="S145" s="100"/>
      <c r="T145" s="100"/>
      <c r="U145" s="15"/>
      <c r="V145" s="27"/>
      <c r="W145" s="23">
        <v>1</v>
      </c>
      <c r="X145" s="23">
        <v>2</v>
      </c>
      <c r="Y145" s="23">
        <v>3</v>
      </c>
      <c r="Z145" s="13">
        <v>4</v>
      </c>
    </row>
    <row r="146" spans="1:26" ht="21" customHeight="1" x14ac:dyDescent="0.25">
      <c r="A146" s="112"/>
      <c r="B146" s="113"/>
      <c r="C146" s="114"/>
      <c r="D146" s="112"/>
      <c r="E146" s="113"/>
      <c r="F146" s="114"/>
      <c r="G146" s="101"/>
      <c r="H146" s="101"/>
      <c r="I146" s="101"/>
      <c r="J146" s="29"/>
      <c r="K146" s="30"/>
      <c r="L146" s="104" t="s">
        <v>19</v>
      </c>
      <c r="M146" s="105"/>
      <c r="N146" s="105"/>
      <c r="O146" s="106"/>
      <c r="P146" s="97"/>
      <c r="Q146" s="97"/>
      <c r="R146" s="98"/>
      <c r="S146" s="101"/>
      <c r="T146" s="101"/>
      <c r="U146" s="29"/>
      <c r="V146" s="30"/>
      <c r="W146" s="89" t="s">
        <v>19</v>
      </c>
      <c r="X146" s="90"/>
      <c r="Y146" s="90"/>
      <c r="Z146" s="91"/>
    </row>
  </sheetData>
  <mergeCells count="295">
    <mergeCell ref="A112:Z112"/>
    <mergeCell ref="A113:C118"/>
    <mergeCell ref="D113:F118"/>
    <mergeCell ref="G113:G114"/>
    <mergeCell ref="H113:H118"/>
    <mergeCell ref="I113:I118"/>
    <mergeCell ref="J113:J116"/>
    <mergeCell ref="S4:V4"/>
    <mergeCell ref="W4:Z4"/>
    <mergeCell ref="A105:Z105"/>
    <mergeCell ref="A106:C111"/>
    <mergeCell ref="D106:F111"/>
    <mergeCell ref="G106:G107"/>
    <mergeCell ref="H106:H111"/>
    <mergeCell ref="I106:I111"/>
    <mergeCell ref="J106:J109"/>
    <mergeCell ref="P106:R111"/>
    <mergeCell ref="S106:S111"/>
    <mergeCell ref="W111:Z111"/>
    <mergeCell ref="A98:Z98"/>
    <mergeCell ref="A99:C104"/>
    <mergeCell ref="D99:F104"/>
    <mergeCell ref="G99:G100"/>
    <mergeCell ref="H99:H104"/>
    <mergeCell ref="I99:I104"/>
    <mergeCell ref="J99:J102"/>
    <mergeCell ref="P99:R104"/>
    <mergeCell ref="S99:S104"/>
    <mergeCell ref="W104:Z104"/>
    <mergeCell ref="A91:Z91"/>
    <mergeCell ref="A92:C97"/>
    <mergeCell ref="D92:F97"/>
    <mergeCell ref="G92:G93"/>
    <mergeCell ref="H92:H97"/>
    <mergeCell ref="I92:I97"/>
    <mergeCell ref="J92:J95"/>
    <mergeCell ref="P92:R97"/>
    <mergeCell ref="S92:S97"/>
    <mergeCell ref="T92:T97"/>
    <mergeCell ref="U92:U95"/>
    <mergeCell ref="G94:G95"/>
    <mergeCell ref="G96:G97"/>
    <mergeCell ref="L97:O97"/>
    <mergeCell ref="W97:Z97"/>
    <mergeCell ref="T99:T104"/>
    <mergeCell ref="U99:U102"/>
    <mergeCell ref="G101:G102"/>
    <mergeCell ref="G103:G104"/>
    <mergeCell ref="P71:R76"/>
    <mergeCell ref="S71:S76"/>
    <mergeCell ref="W76:Z76"/>
    <mergeCell ref="A85:C90"/>
    <mergeCell ref="D85:F90"/>
    <mergeCell ref="G85:G86"/>
    <mergeCell ref="H85:H90"/>
    <mergeCell ref="I85:I90"/>
    <mergeCell ref="J85:J88"/>
    <mergeCell ref="P85:R90"/>
    <mergeCell ref="S85:S90"/>
    <mergeCell ref="W90:Z90"/>
    <mergeCell ref="J78:J81"/>
    <mergeCell ref="P78:R83"/>
    <mergeCell ref="S78:S83"/>
    <mergeCell ref="W83:Z83"/>
    <mergeCell ref="A84:Z84"/>
    <mergeCell ref="T71:T76"/>
    <mergeCell ref="U71:U74"/>
    <mergeCell ref="G73:G74"/>
    <mergeCell ref="G75:G76"/>
    <mergeCell ref="L76:O76"/>
    <mergeCell ref="A78:C83"/>
    <mergeCell ref="D78:F83"/>
    <mergeCell ref="A35:Z35"/>
    <mergeCell ref="A36:C41"/>
    <mergeCell ref="D36:F41"/>
    <mergeCell ref="G36:G37"/>
    <mergeCell ref="H36:H41"/>
    <mergeCell ref="I36:I41"/>
    <mergeCell ref="J36:J39"/>
    <mergeCell ref="P36:R41"/>
    <mergeCell ref="S36:S41"/>
    <mergeCell ref="W41:Z41"/>
    <mergeCell ref="T36:T41"/>
    <mergeCell ref="U36:U39"/>
    <mergeCell ref="G38:G39"/>
    <mergeCell ref="G40:G41"/>
    <mergeCell ref="L41:O41"/>
    <mergeCell ref="W27:Z27"/>
    <mergeCell ref="T22:T27"/>
    <mergeCell ref="U22:U25"/>
    <mergeCell ref="A28:Z28"/>
    <mergeCell ref="A29:C34"/>
    <mergeCell ref="D29:F34"/>
    <mergeCell ref="G29:G30"/>
    <mergeCell ref="H29:H34"/>
    <mergeCell ref="I29:I34"/>
    <mergeCell ref="J29:J32"/>
    <mergeCell ref="P29:R34"/>
    <mergeCell ref="S29:S34"/>
    <mergeCell ref="T29:T34"/>
    <mergeCell ref="U29:U32"/>
    <mergeCell ref="G31:G32"/>
    <mergeCell ref="G33:G34"/>
    <mergeCell ref="L34:O34"/>
    <mergeCell ref="W34:Z34"/>
    <mergeCell ref="S1:Z1"/>
    <mergeCell ref="Q2:R2"/>
    <mergeCell ref="S2:Z2"/>
    <mergeCell ref="J21:O21"/>
    <mergeCell ref="U21:Z21"/>
    <mergeCell ref="Q1:R1"/>
    <mergeCell ref="S3:Z3"/>
    <mergeCell ref="Q3:R3"/>
    <mergeCell ref="P20:R21"/>
    <mergeCell ref="R6:Z6"/>
    <mergeCell ref="S20:Z20"/>
    <mergeCell ref="H20:O20"/>
    <mergeCell ref="F13:P13"/>
    <mergeCell ref="T106:T111"/>
    <mergeCell ref="U106:U109"/>
    <mergeCell ref="G108:G109"/>
    <mergeCell ref="G110:G111"/>
    <mergeCell ref="L111:O111"/>
    <mergeCell ref="B5:F5"/>
    <mergeCell ref="H5:P5"/>
    <mergeCell ref="R5:Z5"/>
    <mergeCell ref="B6:F6"/>
    <mergeCell ref="H6:P6"/>
    <mergeCell ref="A20:C21"/>
    <mergeCell ref="D20:F21"/>
    <mergeCell ref="G20:G21"/>
    <mergeCell ref="A22:C27"/>
    <mergeCell ref="D22:F27"/>
    <mergeCell ref="G22:G23"/>
    <mergeCell ref="H22:H27"/>
    <mergeCell ref="I22:I27"/>
    <mergeCell ref="J22:J25"/>
    <mergeCell ref="P22:R27"/>
    <mergeCell ref="G24:G25"/>
    <mergeCell ref="G26:G27"/>
    <mergeCell ref="L27:O27"/>
    <mergeCell ref="S22:S27"/>
    <mergeCell ref="L104:O104"/>
    <mergeCell ref="L62:O62"/>
    <mergeCell ref="J57:J60"/>
    <mergeCell ref="P57:R62"/>
    <mergeCell ref="S57:S62"/>
    <mergeCell ref="U57:U60"/>
    <mergeCell ref="G59:G60"/>
    <mergeCell ref="A63:Z63"/>
    <mergeCell ref="A64:C69"/>
    <mergeCell ref="D64:F69"/>
    <mergeCell ref="G64:G65"/>
    <mergeCell ref="H64:H69"/>
    <mergeCell ref="W69:Z69"/>
    <mergeCell ref="A70:Z70"/>
    <mergeCell ref="A71:C76"/>
    <mergeCell ref="D71:F76"/>
    <mergeCell ref="G71:G72"/>
    <mergeCell ref="H71:H76"/>
    <mergeCell ref="I71:I76"/>
    <mergeCell ref="J71:J74"/>
    <mergeCell ref="I57:I62"/>
    <mergeCell ref="G78:G79"/>
    <mergeCell ref="H78:H83"/>
    <mergeCell ref="I78:I83"/>
    <mergeCell ref="D50:F55"/>
    <mergeCell ref="G50:G51"/>
    <mergeCell ref="I64:I69"/>
    <mergeCell ref="J64:J67"/>
    <mergeCell ref="P64:R69"/>
    <mergeCell ref="S64:S69"/>
    <mergeCell ref="T64:T69"/>
    <mergeCell ref="W55:Z55"/>
    <mergeCell ref="H50:H55"/>
    <mergeCell ref="G52:G53"/>
    <mergeCell ref="G54:G55"/>
    <mergeCell ref="A56:Z56"/>
    <mergeCell ref="I50:I55"/>
    <mergeCell ref="J50:J53"/>
    <mergeCell ref="W62:Z62"/>
    <mergeCell ref="A50:C55"/>
    <mergeCell ref="A57:C62"/>
    <mergeCell ref="D57:F62"/>
    <mergeCell ref="G57:G58"/>
    <mergeCell ref="H57:H62"/>
    <mergeCell ref="P50:R55"/>
    <mergeCell ref="L55:O55"/>
    <mergeCell ref="S50:S55"/>
    <mergeCell ref="T50:T55"/>
    <mergeCell ref="U50:U53"/>
    <mergeCell ref="T57:T62"/>
    <mergeCell ref="U113:U116"/>
    <mergeCell ref="G115:G116"/>
    <mergeCell ref="G117:G118"/>
    <mergeCell ref="L118:O118"/>
    <mergeCell ref="W118:Z118"/>
    <mergeCell ref="S113:S118"/>
    <mergeCell ref="A119:Z119"/>
    <mergeCell ref="P113:R118"/>
    <mergeCell ref="G61:G62"/>
    <mergeCell ref="T85:T90"/>
    <mergeCell ref="U85:U88"/>
    <mergeCell ref="G87:G88"/>
    <mergeCell ref="G89:G90"/>
    <mergeCell ref="L90:O90"/>
    <mergeCell ref="T78:T83"/>
    <mergeCell ref="U78:U81"/>
    <mergeCell ref="G82:G83"/>
    <mergeCell ref="U64:U67"/>
    <mergeCell ref="G66:G67"/>
    <mergeCell ref="G68:G69"/>
    <mergeCell ref="L69:O69"/>
    <mergeCell ref="A77:Z77"/>
    <mergeCell ref="G120:G121"/>
    <mergeCell ref="H120:H125"/>
    <mergeCell ref="I120:I125"/>
    <mergeCell ref="J120:J123"/>
    <mergeCell ref="L83:O83"/>
    <mergeCell ref="G80:G81"/>
    <mergeCell ref="C7:F7"/>
    <mergeCell ref="W48:Z48"/>
    <mergeCell ref="A49:Z49"/>
    <mergeCell ref="A42:Z42"/>
    <mergeCell ref="T43:T48"/>
    <mergeCell ref="U43:U46"/>
    <mergeCell ref="G45:G46"/>
    <mergeCell ref="G47:G48"/>
    <mergeCell ref="J43:J46"/>
    <mergeCell ref="P43:R48"/>
    <mergeCell ref="S43:S48"/>
    <mergeCell ref="A43:C48"/>
    <mergeCell ref="D43:F48"/>
    <mergeCell ref="G43:G44"/>
    <mergeCell ref="H43:H48"/>
    <mergeCell ref="L48:O48"/>
    <mergeCell ref="I43:I48"/>
    <mergeCell ref="T113:T118"/>
    <mergeCell ref="U127:U130"/>
    <mergeCell ref="G129:G130"/>
    <mergeCell ref="G131:G132"/>
    <mergeCell ref="L132:O132"/>
    <mergeCell ref="W132:Z132"/>
    <mergeCell ref="W125:Z125"/>
    <mergeCell ref="A126:Z126"/>
    <mergeCell ref="A127:C132"/>
    <mergeCell ref="D127:F132"/>
    <mergeCell ref="G127:G128"/>
    <mergeCell ref="H127:H132"/>
    <mergeCell ref="I127:I132"/>
    <mergeCell ref="J127:J130"/>
    <mergeCell ref="P127:R132"/>
    <mergeCell ref="S127:S132"/>
    <mergeCell ref="P120:R125"/>
    <mergeCell ref="S120:S125"/>
    <mergeCell ref="T120:T125"/>
    <mergeCell ref="U120:U123"/>
    <mergeCell ref="G122:G123"/>
    <mergeCell ref="G124:G125"/>
    <mergeCell ref="L125:O125"/>
    <mergeCell ref="A120:C125"/>
    <mergeCell ref="D120:F125"/>
    <mergeCell ref="D134:F139"/>
    <mergeCell ref="G134:G135"/>
    <mergeCell ref="H134:H139"/>
    <mergeCell ref="I134:I139"/>
    <mergeCell ref="J134:J137"/>
    <mergeCell ref="P134:R139"/>
    <mergeCell ref="S134:S139"/>
    <mergeCell ref="T134:T139"/>
    <mergeCell ref="T127:T132"/>
    <mergeCell ref="A1:D4"/>
    <mergeCell ref="E1:P4"/>
    <mergeCell ref="W146:Z146"/>
    <mergeCell ref="P141:R146"/>
    <mergeCell ref="S141:S146"/>
    <mergeCell ref="T141:T146"/>
    <mergeCell ref="U141:U144"/>
    <mergeCell ref="G143:G144"/>
    <mergeCell ref="G145:G146"/>
    <mergeCell ref="L146:O146"/>
    <mergeCell ref="A141:C146"/>
    <mergeCell ref="D141:F146"/>
    <mergeCell ref="G141:G142"/>
    <mergeCell ref="H141:H146"/>
    <mergeCell ref="I141:I146"/>
    <mergeCell ref="J141:J144"/>
    <mergeCell ref="U134:U137"/>
    <mergeCell ref="G136:G137"/>
    <mergeCell ref="G138:G139"/>
    <mergeCell ref="L139:O139"/>
    <mergeCell ref="W139:Z139"/>
    <mergeCell ref="A140:Z140"/>
    <mergeCell ref="A133:Z133"/>
    <mergeCell ref="A134:C139"/>
  </mergeCells>
  <phoneticPr fontId="3" type="noConversion"/>
  <dataValidations count="3">
    <dataValidation type="list" allowBlank="1" showInputMessage="1" showErrorMessage="1" sqref="G22:G27 G29:G34 G120:G125 G127:G132 G134:G139 G141:G146 G36:G41 G113:G118 G43:G48 G50:G55 G57:G62 G64:G69 G71:G76 G85:G90 G92:G97 G99:G104 G106:G111 G78:G83" xr:uid="{00000000-0002-0000-0000-000000000000}">
      <formula1>$G$15:$G$17</formula1>
    </dataValidation>
    <dataValidation type="list" allowBlank="1" showInputMessage="1" showErrorMessage="1" sqref="H22:H27 S43:T48 H120:H125 H127:H132 H134:H139 H141:H146 S141:T146 S120:T125 S127:T132 S22:T27 S134:T139 H36:H41 S106:T111 S29:T34 H50:H55 H57:H62 S64:T69 H71:H76 H85:H90 H92:H97 H99:H104 H106:H111 H113:H118 H29:H34 S36:T41 S113:T118 S50:T55 S57:T62 H64:H69 S71:T76 S78:T83 S85:T90 S92:T97 S99:T104 H43:H48 H78:H83" xr:uid="{00000000-0002-0000-0000-000001000000}">
      <formula1>$H$15:$H$18</formula1>
    </dataValidation>
    <dataValidation type="list" allowBlank="1" showInputMessage="1" showErrorMessage="1" sqref="I22:I27 I29:I34 I120:I125 I127:I132 I134:I139 I141:I146 I36:I41 I113:I118 I43:I48 I50:I55 I57:I62 I64:I69 I71:I76 I85:I90 I92:I97 I99:I104 I106:I111 I78:I83" xr:uid="{00000000-0002-0000-0000-000002000000}">
      <formula1>$I$15:$I$18</formula1>
    </dataValidation>
  </dataValidations>
  <printOptions horizontalCentered="1"/>
  <pageMargins left="0.2" right="0.21" top="0.47" bottom="0.45" header="0.5" footer="0.5"/>
  <pageSetup paperSize="8" fitToWidth="0" orientation="landscape" r:id="rId1"/>
  <headerFooter alignWithMargins="0"/>
  <rowBreaks count="2" manualBreakCount="2">
    <brk id="49" max="25" man="1"/>
    <brk id="84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F29F4-8769-407B-8F72-5F10850C9B28}">
  <sheetPr>
    <pageSetUpPr fitToPage="1"/>
  </sheetPr>
  <dimension ref="A2:E53"/>
  <sheetViews>
    <sheetView view="pageLayout" zoomScaleNormal="85" workbookViewId="0">
      <selection activeCell="B14" sqref="B14"/>
    </sheetView>
  </sheetViews>
  <sheetFormatPr defaultRowHeight="13.2" x14ac:dyDescent="0.25"/>
  <cols>
    <col min="1" max="1" width="5.6640625" customWidth="1"/>
    <col min="2" max="2" width="80.6640625" customWidth="1"/>
    <col min="3" max="3" width="5.6640625" customWidth="1"/>
    <col min="4" max="4" width="81.6640625" customWidth="1"/>
    <col min="5" max="5" width="5.6640625" customWidth="1"/>
  </cols>
  <sheetData>
    <row r="2" spans="1:5" ht="17.399999999999999" x14ac:dyDescent="0.3">
      <c r="D2" s="59"/>
      <c r="E2" s="60"/>
    </row>
    <row r="3" spans="1:5" ht="18" customHeight="1" x14ac:dyDescent="0.25"/>
    <row r="4" spans="1:5" ht="18" customHeight="1" x14ac:dyDescent="0.25">
      <c r="A4" s="165" t="s">
        <v>43</v>
      </c>
      <c r="B4" s="166"/>
      <c r="C4" s="166"/>
      <c r="D4" s="166"/>
      <c r="E4" s="61"/>
    </row>
    <row r="5" spans="1:5" ht="18" customHeight="1" x14ac:dyDescent="0.25">
      <c r="A5" s="62"/>
      <c r="B5" s="63" t="s">
        <v>44</v>
      </c>
      <c r="C5" s="64"/>
      <c r="D5" s="63" t="s">
        <v>45</v>
      </c>
      <c r="E5" s="65"/>
    </row>
    <row r="6" spans="1:5" ht="18" customHeight="1" x14ac:dyDescent="0.25">
      <c r="A6" s="62"/>
      <c r="B6" s="63" t="s">
        <v>46</v>
      </c>
      <c r="C6" s="64"/>
      <c r="D6" s="63" t="s">
        <v>47</v>
      </c>
      <c r="E6" s="65"/>
    </row>
    <row r="7" spans="1:5" ht="18" customHeight="1" x14ac:dyDescent="0.25">
      <c r="A7" s="62"/>
      <c r="B7" s="63" t="s">
        <v>48</v>
      </c>
      <c r="C7" s="64"/>
      <c r="D7" s="63" t="s">
        <v>49</v>
      </c>
      <c r="E7" s="65"/>
    </row>
    <row r="8" spans="1:5" ht="18" customHeight="1" x14ac:dyDescent="0.25">
      <c r="A8" s="62"/>
      <c r="B8" s="63" t="s">
        <v>50</v>
      </c>
      <c r="C8" s="64"/>
      <c r="D8" s="63" t="s">
        <v>51</v>
      </c>
      <c r="E8" s="65"/>
    </row>
    <row r="9" spans="1:5" ht="18" customHeight="1" x14ac:dyDescent="0.25">
      <c r="A9" s="62"/>
      <c r="B9" s="63" t="s">
        <v>52</v>
      </c>
      <c r="C9" s="64"/>
      <c r="D9" s="63" t="s">
        <v>53</v>
      </c>
      <c r="E9" s="65"/>
    </row>
    <row r="10" spans="1:5" ht="18" customHeight="1" x14ac:dyDescent="0.25">
      <c r="A10" s="62"/>
      <c r="B10" s="63" t="s">
        <v>54</v>
      </c>
      <c r="C10" s="64"/>
      <c r="D10" s="63" t="s">
        <v>55</v>
      </c>
      <c r="E10" s="65"/>
    </row>
    <row r="11" spans="1:5" ht="18" customHeight="1" x14ac:dyDescent="0.25">
      <c r="A11" s="62"/>
      <c r="B11" s="63" t="s">
        <v>56</v>
      </c>
      <c r="C11" s="64"/>
      <c r="D11" s="63" t="s">
        <v>57</v>
      </c>
      <c r="E11" s="65"/>
    </row>
    <row r="12" spans="1:5" ht="18" customHeight="1" x14ac:dyDescent="0.25">
      <c r="A12" s="62"/>
      <c r="B12" s="63" t="s">
        <v>58</v>
      </c>
      <c r="C12" s="64"/>
      <c r="D12" s="63" t="s">
        <v>59</v>
      </c>
      <c r="E12" s="65"/>
    </row>
    <row r="13" spans="1:5" ht="18" customHeight="1" x14ac:dyDescent="0.25">
      <c r="A13" s="62"/>
      <c r="B13" s="63" t="s">
        <v>60</v>
      </c>
      <c r="C13" s="64"/>
      <c r="D13" s="63" t="s">
        <v>61</v>
      </c>
      <c r="E13" s="65"/>
    </row>
    <row r="14" spans="1:5" ht="18" customHeight="1" x14ac:dyDescent="0.25">
      <c r="A14" s="62"/>
      <c r="B14" s="63" t="s">
        <v>62</v>
      </c>
      <c r="C14" s="64"/>
      <c r="D14" s="63" t="s">
        <v>63</v>
      </c>
      <c r="E14" s="65"/>
    </row>
    <row r="15" spans="1:5" ht="18" customHeight="1" x14ac:dyDescent="0.25">
      <c r="A15" s="62"/>
      <c r="B15" s="63" t="s">
        <v>64</v>
      </c>
      <c r="C15" s="64"/>
      <c r="D15" s="63" t="s">
        <v>65</v>
      </c>
      <c r="E15" s="65"/>
    </row>
    <row r="16" spans="1:5" ht="18" customHeight="1" x14ac:dyDescent="0.25">
      <c r="A16" s="62"/>
      <c r="B16" s="63" t="s">
        <v>66</v>
      </c>
      <c r="C16" s="64"/>
      <c r="D16" s="63" t="s">
        <v>67</v>
      </c>
      <c r="E16" s="65"/>
    </row>
    <row r="17" spans="1:5" ht="18" customHeight="1" x14ac:dyDescent="0.25">
      <c r="A17" s="62"/>
      <c r="B17" s="63" t="s">
        <v>68</v>
      </c>
      <c r="C17" s="64"/>
      <c r="D17" s="63" t="s">
        <v>69</v>
      </c>
      <c r="E17" s="65"/>
    </row>
    <row r="18" spans="1:5" ht="18" customHeight="1" x14ac:dyDescent="0.25">
      <c r="A18" s="62"/>
      <c r="B18" s="63" t="s">
        <v>70</v>
      </c>
      <c r="C18" s="64"/>
      <c r="D18" s="63" t="s">
        <v>71</v>
      </c>
      <c r="E18" s="65"/>
    </row>
    <row r="19" spans="1:5" ht="18" customHeight="1" x14ac:dyDescent="0.25">
      <c r="A19" s="62"/>
      <c r="B19" s="63" t="s">
        <v>72</v>
      </c>
      <c r="C19" s="64"/>
      <c r="D19" s="63" t="s">
        <v>73</v>
      </c>
      <c r="E19" s="65"/>
    </row>
    <row r="20" spans="1:5" ht="18" customHeight="1" x14ac:dyDescent="0.25">
      <c r="A20" s="62"/>
      <c r="B20" s="63" t="s">
        <v>74</v>
      </c>
      <c r="C20" s="64"/>
      <c r="D20" s="63" t="s">
        <v>75</v>
      </c>
      <c r="E20" s="65"/>
    </row>
    <row r="21" spans="1:5" ht="18" customHeight="1" x14ac:dyDescent="0.25">
      <c r="A21" s="62"/>
      <c r="B21" s="63" t="s">
        <v>76</v>
      </c>
      <c r="C21" s="64"/>
      <c r="D21" s="63" t="s">
        <v>77</v>
      </c>
      <c r="E21" s="65"/>
    </row>
    <row r="22" spans="1:5" ht="18" customHeight="1" x14ac:dyDescent="0.25">
      <c r="A22" s="62"/>
      <c r="B22" s="63" t="s">
        <v>78</v>
      </c>
      <c r="C22" s="64"/>
      <c r="D22" s="63" t="s">
        <v>79</v>
      </c>
      <c r="E22" s="65"/>
    </row>
    <row r="23" spans="1:5" ht="18" customHeight="1" x14ac:dyDescent="0.25">
      <c r="A23" s="62"/>
      <c r="B23" s="63" t="s">
        <v>80</v>
      </c>
      <c r="C23" s="64"/>
      <c r="D23" s="63" t="s">
        <v>81</v>
      </c>
      <c r="E23" s="65"/>
    </row>
    <row r="24" spans="1:5" ht="18" customHeight="1" x14ac:dyDescent="0.25">
      <c r="A24" s="62"/>
      <c r="B24" s="63" t="s">
        <v>82</v>
      </c>
      <c r="C24" s="66"/>
      <c r="D24" s="63" t="s">
        <v>83</v>
      </c>
      <c r="E24" s="65"/>
    </row>
    <row r="25" spans="1:5" ht="18" customHeight="1" x14ac:dyDescent="0.25">
      <c r="A25" s="62"/>
      <c r="B25" s="63" t="s">
        <v>84</v>
      </c>
      <c r="C25" s="66"/>
      <c r="D25" s="63" t="s">
        <v>85</v>
      </c>
      <c r="E25" s="65"/>
    </row>
    <row r="26" spans="1:5" ht="18" customHeight="1" x14ac:dyDescent="0.25">
      <c r="A26" s="62"/>
      <c r="B26" s="63" t="s">
        <v>86</v>
      </c>
      <c r="C26" s="66"/>
      <c r="D26" s="63" t="s">
        <v>87</v>
      </c>
      <c r="E26" s="65"/>
    </row>
    <row r="27" spans="1:5" ht="18" customHeight="1" x14ac:dyDescent="0.25">
      <c r="A27" s="62"/>
      <c r="B27" s="67"/>
      <c r="C27" s="68"/>
      <c r="D27" s="69"/>
      <c r="E27" s="65"/>
    </row>
    <row r="28" spans="1:5" ht="18" customHeight="1" x14ac:dyDescent="0.25">
      <c r="A28" s="62"/>
      <c r="B28" s="67"/>
      <c r="C28" s="68"/>
      <c r="D28" s="70"/>
      <c r="E28" s="65"/>
    </row>
    <row r="29" spans="1:5" ht="18" customHeight="1" x14ac:dyDescent="0.25">
      <c r="A29" s="62"/>
      <c r="B29" s="67"/>
      <c r="C29" s="68"/>
      <c r="D29" s="70"/>
      <c r="E29" s="65"/>
    </row>
    <row r="30" spans="1:5" ht="18" customHeight="1" x14ac:dyDescent="0.25">
      <c r="A30" s="62"/>
      <c r="B30" s="67"/>
      <c r="C30" s="68"/>
      <c r="D30" s="70"/>
      <c r="E30" s="65"/>
    </row>
    <row r="31" spans="1:5" ht="18" customHeight="1" x14ac:dyDescent="0.25">
      <c r="A31" s="71"/>
      <c r="B31" s="72"/>
      <c r="C31" s="72"/>
      <c r="D31" s="73"/>
      <c r="E31" s="74"/>
    </row>
    <row r="32" spans="1:5" x14ac:dyDescent="0.25">
      <c r="B32" s="75"/>
      <c r="C32" s="75"/>
    </row>
    <row r="33" spans="2:3" x14ac:dyDescent="0.25">
      <c r="B33" s="75"/>
      <c r="C33" s="75"/>
    </row>
    <row r="34" spans="2:3" x14ac:dyDescent="0.25">
      <c r="B34" s="75"/>
      <c r="C34" s="75"/>
    </row>
    <row r="35" spans="2:3" x14ac:dyDescent="0.25">
      <c r="B35" s="75"/>
      <c r="C35" s="75"/>
    </row>
    <row r="36" spans="2:3" x14ac:dyDescent="0.25">
      <c r="B36" s="75"/>
      <c r="C36" s="75"/>
    </row>
    <row r="37" spans="2:3" x14ac:dyDescent="0.25">
      <c r="B37" s="75"/>
      <c r="C37" s="75"/>
    </row>
    <row r="38" spans="2:3" x14ac:dyDescent="0.25">
      <c r="B38" s="75"/>
      <c r="C38" s="75"/>
    </row>
    <row r="39" spans="2:3" x14ac:dyDescent="0.25">
      <c r="B39" s="75"/>
      <c r="C39" s="75"/>
    </row>
    <row r="40" spans="2:3" x14ac:dyDescent="0.25">
      <c r="B40" s="75"/>
      <c r="C40" s="75"/>
    </row>
    <row r="41" spans="2:3" x14ac:dyDescent="0.25">
      <c r="B41" s="75"/>
      <c r="C41" s="75"/>
    </row>
    <row r="42" spans="2:3" x14ac:dyDescent="0.25">
      <c r="B42" s="75"/>
      <c r="C42" s="75"/>
    </row>
    <row r="43" spans="2:3" x14ac:dyDescent="0.25">
      <c r="B43" s="75"/>
      <c r="C43" s="75"/>
    </row>
    <row r="44" spans="2:3" x14ac:dyDescent="0.25">
      <c r="B44" s="75"/>
      <c r="C44" s="75"/>
    </row>
    <row r="45" spans="2:3" x14ac:dyDescent="0.25">
      <c r="B45" s="75"/>
      <c r="C45" s="75"/>
    </row>
    <row r="46" spans="2:3" x14ac:dyDescent="0.25">
      <c r="B46" s="75"/>
      <c r="C46" s="75"/>
    </row>
    <row r="47" spans="2:3" x14ac:dyDescent="0.25">
      <c r="B47" s="75"/>
      <c r="C47" s="75"/>
    </row>
    <row r="48" spans="2:3" x14ac:dyDescent="0.25">
      <c r="B48" s="75"/>
      <c r="C48" s="75"/>
    </row>
    <row r="49" spans="2:3" x14ac:dyDescent="0.25">
      <c r="B49" s="75"/>
      <c r="C49" s="75"/>
    </row>
    <row r="50" spans="2:3" x14ac:dyDescent="0.25">
      <c r="B50" s="75"/>
      <c r="C50" s="75"/>
    </row>
    <row r="51" spans="2:3" x14ac:dyDescent="0.25">
      <c r="B51" s="75"/>
      <c r="C51" s="75"/>
    </row>
    <row r="52" spans="2:3" x14ac:dyDescent="0.25">
      <c r="B52" s="75"/>
      <c r="C52" s="75"/>
    </row>
    <row r="53" spans="2:3" x14ac:dyDescent="0.25">
      <c r="B53" s="75"/>
      <c r="C53" s="75"/>
    </row>
  </sheetData>
  <mergeCells count="1">
    <mergeCell ref="A4:D4"/>
  </mergeCells>
  <pageMargins left="0.75" right="0.75" top="1" bottom="1" header="0.5" footer="0.5"/>
  <pageSetup paperSize="9" scale="74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ze xmlns="2df2041b-e31e-43ab-a3d1-233941f10447" xsi:nil="true"/>
    <Date xmlns="2df2041b-e31e-43ab-a3d1-233941f10447" xsi:nil="true"/>
    <doc_x0020_size xmlns="2df2041b-e31e-43ab-a3d1-233941f10447" xsi:nil="true"/>
    <SharedWithUsers xmlns="58c02ea9-8108-45bd-a5ba-da4541ce9688">
      <UserInfo>
        <DisplayName>Duncan White</DisplayName>
        <AccountId>56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09EEE7753A3F4392397C2700F3BFF6" ma:contentTypeVersion="11" ma:contentTypeDescription="Create a new document." ma:contentTypeScope="" ma:versionID="8ec1876fe160e70c0a14265b84bb55de">
  <xsd:schema xmlns:xsd="http://www.w3.org/2001/XMLSchema" xmlns:xs="http://www.w3.org/2001/XMLSchema" xmlns:p="http://schemas.microsoft.com/office/2006/metadata/properties" xmlns:ns2="2df2041b-e31e-43ab-a3d1-233941f10447" xmlns:ns3="58c02ea9-8108-45bd-a5ba-da4541ce9688" targetNamespace="http://schemas.microsoft.com/office/2006/metadata/properties" ma:root="true" ma:fieldsID="d0c07933c9f1dea2483dd3bda8c3ab7c" ns2:_="" ns3:_="">
    <xsd:import namespace="2df2041b-e31e-43ab-a3d1-233941f10447"/>
    <xsd:import namespace="58c02ea9-8108-45bd-a5ba-da4541ce96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ize" minOccurs="0"/>
                <xsd:element ref="ns2:Size_x003a__x0020_Created" minOccurs="0"/>
                <xsd:element ref="ns2:Size_x003a__x0020_Modified" minOccurs="0"/>
                <xsd:element ref="ns2:Size_x003a__x0020_Version" minOccurs="0"/>
                <xsd:element ref="ns2:doc_x0020_size" minOccurs="0"/>
                <xsd:element ref="ns2:doc_x0020_size_x003a_Version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041b-e31e-43ab-a3d1-233941f104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ize" ma:index="12" nillable="true" ma:displayName="Size" ma:format="Dropdown" ma:list="1ee18566-d920-4f29-adf7-12b4634dea8a" ma:internalName="Size" ma:showField="_UIVersionString">
      <xsd:simpleType>
        <xsd:restriction base="dms:Lookup"/>
      </xsd:simpleType>
    </xsd:element>
    <xsd:element name="Size_x003a__x0020_Created" ma:index="13" nillable="true" ma:displayName="Size: Created" ma:format="Dropdown" ma:list="1ee18566-d920-4f29-adf7-12b4634dea8a" ma:internalName="Size_x003a__x0020_Created" ma:readOnly="true" ma:showField="Created">
      <xsd:simpleType>
        <xsd:restriction base="dms:Lookup"/>
      </xsd:simpleType>
    </xsd:element>
    <xsd:element name="Size_x003a__x0020_Modified" ma:index="14" nillable="true" ma:displayName="Size: Modified" ma:format="Dropdown" ma:list="1ee18566-d920-4f29-adf7-12b4634dea8a" ma:internalName="Size_x003a__x0020_Modified" ma:readOnly="true" ma:showField="Modified">
      <xsd:simpleType>
        <xsd:restriction base="dms:Lookup"/>
      </xsd:simpleType>
    </xsd:element>
    <xsd:element name="Size_x003a__x0020_Version" ma:index="15" nillable="true" ma:displayName="Size: Version" ma:format="Dropdown" ma:list="1ee18566-d920-4f29-adf7-12b4634dea8a" ma:internalName="Size_x003a__x0020_Version" ma:readOnly="true" ma:showField="_UIVersionString">
      <xsd:simpleType>
        <xsd:restriction base="dms:Lookup"/>
      </xsd:simpleType>
    </xsd:element>
    <xsd:element name="doc_x0020_size" ma:index="16" nillable="true" ma:displayName="doc size" ma:list="{e1910d42-ec5a-4f0b-a128-4505b3fe9fdf}" ma:internalName="doc_x0020_size" ma:showField="Title">
      <xsd:simpleType>
        <xsd:restriction base="dms:Lookup"/>
      </xsd:simpleType>
    </xsd:element>
    <xsd:element name="doc_x0020_size_x003a_Version" ma:index="17" nillable="true" ma:displayName="doc size:Version" ma:list="{e1910d42-ec5a-4f0b-a128-4505b3fe9fdf}" ma:internalName="doc_x0020_size_x003a_Version" ma:readOnly="true" ma:showField="_UIVersionString" ma:web="58c02ea9-8108-45bd-a5ba-da4541ce9688">
      <xsd:simpleType>
        <xsd:restriction base="dms:Lookup"/>
      </xsd:simpleType>
    </xsd:element>
    <xsd:element name="Date" ma:index="18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c02ea9-8108-45bd-a5ba-da4541ce968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720745-FAFF-43B1-8E00-D7E5C2661AF3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350BB19B-2C69-4917-ABFA-32534FB2EE07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58c02ea9-8108-45bd-a5ba-da4541ce9688"/>
    <ds:schemaRef ds:uri="2df2041b-e31e-43ab-a3d1-233941f10447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32F1CF7-A762-4986-A1AF-7253030B6C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f2041b-e31e-43ab-a3d1-233941f10447"/>
    <ds:schemaRef ds:uri="58c02ea9-8108-45bd-a5ba-da4541ce96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1439254-3661-4F68-BCF0-B99346C992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OPERATIONS</vt:lpstr>
      <vt:lpstr>Hazard Description ID</vt:lpstr>
      <vt:lpstr>OPERATIONS!Print_Area</vt:lpstr>
      <vt:lpstr>OPERATIONS!Print_Titles</vt:lpstr>
    </vt:vector>
  </TitlesOfParts>
  <Manager>J. Swider</Manager>
  <Company>Tyco Telecommunciations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Job Safety and Environmental Analysis</dc:title>
  <dc:subject>REPORT</dc:subject>
  <dc:creator>US072565</dc:creator>
  <dc:description>ehs</dc:description>
  <cp:lastModifiedBy>Monica Fahey</cp:lastModifiedBy>
  <cp:lastPrinted>2022-01-18T22:11:54Z</cp:lastPrinted>
  <dcterms:created xsi:type="dcterms:W3CDTF">2006-06-22T18:52:27Z</dcterms:created>
  <dcterms:modified xsi:type="dcterms:W3CDTF">2025-11-10T01:14:53Z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YEMXMXJHXMMS-6-41</vt:lpwstr>
  </property>
  <property fmtid="{D5CDD505-2E9C-101B-9397-08002B2CF9AE}" pid="3" name="_dlc_DocIdItemGuid">
    <vt:lpwstr>d82a53e8-5470-4bf8-9880-3e2031b6d24e</vt:lpwstr>
  </property>
  <property fmtid="{D5CDD505-2E9C-101B-9397-08002B2CF9AE}" pid="4" name="_dlc_DocIdUrl">
    <vt:lpwstr>http://myte-prod.tycoelectronics.com/sites/EHSF/_layouts/DocIdRedir.aspx?ID=YEMXMXJHXMMS-6-41, YEMXMXJHXMMS-6-41</vt:lpwstr>
  </property>
  <property fmtid="{D5CDD505-2E9C-101B-9397-08002B2CF9AE}" pid="5" name="Order">
    <vt:r8>18200</vt:r8>
  </property>
  <property fmtid="{D5CDD505-2E9C-101B-9397-08002B2CF9AE}" pid="6" name="xd_ProgID">
    <vt:lpwstr/>
  </property>
  <property fmtid="{D5CDD505-2E9C-101B-9397-08002B2CF9AE}" pid="7" name="ContentTypeId">
    <vt:lpwstr>0x0101004109EEE7753A3F4392397C2700F3BFF6</vt:lpwstr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